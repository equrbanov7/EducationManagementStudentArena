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7B5DAF-FCA6-41F7-A264-7896EC01FB31}" xr6:coauthVersionLast="45" xr6:coauthVersionMax="47" xr10:uidLastSave="{00000000-0000-0000-0000-000000000000}"/>
  <bookViews>
    <workbookView xWindow="13770" yWindow="255" windowWidth="14790" windowHeight="15090" firstSheet="4" activeTab="4" xr2:uid="{00000000-000D-0000-FFFF-FFFF00000000}"/>
  </bookViews>
  <sheets>
    <sheet name="Xarici dilər" sheetId="20" state="hidden" r:id="rId1"/>
    <sheet name="Ekologiya" sheetId="3" r:id="rId2"/>
    <sheet name="Təbiət elmləri" sheetId="23" r:id="rId3"/>
    <sheet name="Mexanika və riyaziyyat" sheetId="4" r:id="rId4"/>
    <sheet name="Proqramlaşdırma" sheetId="22" r:id="rId5"/>
    <sheet name="İnformasiya texnolog" sheetId="17" r:id="rId6"/>
  </sheets>
  <definedNames>
    <definedName name="_xlnm._FilterDatabase" localSheetId="1" hidden="1">Ekologiya!$A$10:$U$192</definedName>
    <definedName name="_xlnm._FilterDatabase" localSheetId="5" hidden="1">'İnformasiya texnolog'!$A$11:$U$165</definedName>
    <definedName name="_xlnm._FilterDatabase" localSheetId="3" hidden="1">'Mexanika və riyaziyyat'!$A$10:$U$162</definedName>
    <definedName name="_xlnm._FilterDatabase" localSheetId="4" hidden="1">Proqramlaşdırma!$A$10:$J$185</definedName>
    <definedName name="_xlnm._FilterDatabase" localSheetId="2" hidden="1">'Təbiət elmləri'!$A$10:$U$172</definedName>
    <definedName name="_xlnm._FilterDatabase" localSheetId="0" hidden="1">'Xarici dilər'!$A$10:$U$36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1" i="22" l="1"/>
  <c r="J19" i="22" l="1"/>
  <c r="J20" i="22" l="1"/>
  <c r="J109" i="22" l="1"/>
  <c r="J33" i="22" l="1"/>
  <c r="J22" i="22" l="1"/>
  <c r="J12" i="22" l="1"/>
  <c r="J21" i="22"/>
  <c r="J23" i="22"/>
  <c r="J24" i="22"/>
  <c r="J25" i="22"/>
  <c r="J26" i="22"/>
  <c r="J31" i="22"/>
  <c r="J32" i="22"/>
  <c r="J34" i="22"/>
  <c r="J35" i="22"/>
  <c r="J36" i="22"/>
  <c r="J37" i="22"/>
  <c r="J50" i="22"/>
  <c r="J51" i="22"/>
  <c r="J58" i="22"/>
  <c r="J59" i="22"/>
  <c r="J66" i="22"/>
  <c r="J67" i="22"/>
  <c r="J68" i="22"/>
  <c r="J69" i="22"/>
  <c r="J78" i="22"/>
  <c r="J83" i="22"/>
  <c r="J88" i="22"/>
  <c r="J93" i="22"/>
  <c r="J94" i="22"/>
  <c r="J95" i="22"/>
  <c r="J96" i="22"/>
  <c r="T160" i="17" l="1"/>
  <c r="T161" i="17"/>
  <c r="T162" i="17"/>
  <c r="T163" i="17"/>
  <c r="T164" i="17"/>
  <c r="T165" i="17"/>
  <c r="T66" i="17"/>
  <c r="T67" i="17"/>
  <c r="T68" i="17"/>
  <c r="T69" i="17"/>
  <c r="T65" i="17"/>
  <c r="T169" i="23"/>
  <c r="T170" i="23"/>
  <c r="T171" i="23"/>
  <c r="T172" i="23"/>
  <c r="T165" i="23"/>
  <c r="T166" i="23"/>
  <c r="T66" i="23" l="1"/>
  <c r="T159" i="17"/>
  <c r="T158" i="17"/>
  <c r="T157" i="17"/>
  <c r="T156" i="17"/>
  <c r="T155" i="17"/>
  <c r="T154" i="17"/>
  <c r="T153" i="17"/>
  <c r="T152" i="17"/>
  <c r="T151" i="17"/>
  <c r="T150" i="17"/>
  <c r="T149" i="17"/>
  <c r="T148" i="17"/>
  <c r="T147" i="17"/>
  <c r="T146" i="17"/>
  <c r="T145" i="17"/>
  <c r="T144" i="17"/>
  <c r="T143" i="17"/>
  <c r="T142" i="17"/>
  <c r="T141" i="17"/>
  <c r="T140" i="17"/>
  <c r="T139" i="17"/>
  <c r="T138" i="17"/>
  <c r="T137" i="17"/>
  <c r="T136" i="17"/>
  <c r="T135" i="17"/>
  <c r="T134" i="17"/>
  <c r="T133" i="17"/>
  <c r="T132" i="17"/>
  <c r="T131" i="17"/>
  <c r="T130" i="17"/>
  <c r="T129" i="17"/>
  <c r="T128" i="17"/>
  <c r="T127" i="17"/>
  <c r="T126" i="17"/>
  <c r="T125" i="17"/>
  <c r="T124" i="17"/>
  <c r="T123" i="17"/>
  <c r="T122" i="17"/>
  <c r="T121" i="17"/>
  <c r="T120" i="17"/>
  <c r="T119" i="17"/>
  <c r="T118" i="17"/>
  <c r="T117" i="17"/>
  <c r="T116" i="17"/>
  <c r="T115" i="17"/>
  <c r="T114" i="17"/>
  <c r="T113" i="17"/>
  <c r="T112" i="17"/>
  <c r="T111" i="17"/>
  <c r="T110" i="17"/>
  <c r="T109" i="17"/>
  <c r="T108" i="17"/>
  <c r="T107" i="17"/>
  <c r="T106" i="17"/>
  <c r="T105" i="17"/>
  <c r="T104" i="17"/>
  <c r="T103" i="17"/>
  <c r="T102" i="17"/>
  <c r="T101" i="17"/>
  <c r="T100" i="17"/>
  <c r="T99" i="17"/>
  <c r="T98" i="17"/>
  <c r="T97" i="17"/>
  <c r="T96" i="17"/>
  <c r="T95" i="17"/>
  <c r="T94" i="17"/>
  <c r="T93" i="17"/>
  <c r="T92" i="17"/>
  <c r="T91" i="17"/>
  <c r="T90" i="17"/>
  <c r="T89" i="17"/>
  <c r="T88" i="17"/>
  <c r="T87" i="17"/>
  <c r="T86" i="17"/>
  <c r="T85" i="17"/>
  <c r="T84" i="17"/>
  <c r="T83" i="17"/>
  <c r="T82" i="17"/>
  <c r="T81" i="17"/>
  <c r="T80" i="17"/>
  <c r="T79" i="17"/>
  <c r="T78" i="17"/>
  <c r="T77" i="17"/>
  <c r="T76" i="17"/>
  <c r="T75" i="17"/>
  <c r="T74" i="17"/>
  <c r="T73" i="17"/>
  <c r="T72" i="17"/>
  <c r="T71" i="17"/>
  <c r="T70" i="17"/>
  <c r="T64" i="17"/>
  <c r="T63" i="17"/>
  <c r="T62" i="17"/>
  <c r="T61" i="17"/>
  <c r="T60" i="17"/>
  <c r="T59" i="17"/>
  <c r="T58" i="17"/>
  <c r="T57" i="17"/>
  <c r="T56" i="17"/>
  <c r="T55" i="17"/>
  <c r="T54" i="17"/>
  <c r="T53" i="17"/>
  <c r="T52" i="17"/>
  <c r="T51" i="17"/>
  <c r="T50" i="17"/>
  <c r="T49" i="17"/>
  <c r="T48" i="17"/>
  <c r="T47" i="17"/>
  <c r="T46" i="17"/>
  <c r="T45" i="17"/>
  <c r="T44" i="17"/>
  <c r="T43" i="17"/>
  <c r="T42" i="17"/>
  <c r="T41" i="17"/>
  <c r="T40" i="17"/>
  <c r="T39" i="17"/>
  <c r="T38" i="17"/>
  <c r="T37" i="17"/>
  <c r="T36" i="17"/>
  <c r="T35" i="17"/>
  <c r="T34" i="17"/>
  <c r="T33" i="17"/>
  <c r="T32" i="17"/>
  <c r="T31" i="17"/>
  <c r="T30" i="17"/>
  <c r="T29" i="17"/>
  <c r="T28" i="17"/>
  <c r="T27" i="17"/>
  <c r="T26" i="17"/>
  <c r="T25" i="17"/>
  <c r="T24" i="17"/>
  <c r="T23" i="17"/>
  <c r="T22" i="17"/>
  <c r="T21" i="17"/>
  <c r="T20" i="17"/>
  <c r="T19" i="17"/>
  <c r="T18" i="17"/>
  <c r="T17" i="17"/>
  <c r="T16" i="17"/>
  <c r="T15" i="17"/>
  <c r="T14" i="17"/>
  <c r="T13" i="17"/>
  <c r="T12" i="17"/>
  <c r="J169" i="22"/>
  <c r="J168" i="22"/>
  <c r="J166" i="22"/>
  <c r="J165" i="22"/>
  <c r="J164" i="22"/>
  <c r="J160" i="22"/>
  <c r="J159" i="22"/>
  <c r="J150" i="22"/>
  <c r="J149" i="22"/>
  <c r="J135" i="22"/>
  <c r="J127" i="22"/>
  <c r="J124" i="22"/>
  <c r="J123" i="22"/>
  <c r="J122" i="22"/>
  <c r="J121" i="22"/>
  <c r="J120" i="22"/>
  <c r="J119" i="22"/>
  <c r="J118" i="22"/>
  <c r="J113" i="22"/>
  <c r="J112" i="22"/>
  <c r="J111" i="22"/>
  <c r="J110" i="22"/>
  <c r="J108" i="22"/>
  <c r="J107" i="22"/>
  <c r="J106" i="22"/>
  <c r="J105" i="22"/>
  <c r="J104" i="22"/>
  <c r="J11" i="22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D42" i="20"/>
  <c r="D41" i="20"/>
  <c r="D40" i="20"/>
  <c r="T38" i="20"/>
  <c r="T36" i="20"/>
  <c r="T35" i="20"/>
  <c r="T34" i="20"/>
  <c r="T33" i="20"/>
  <c r="T32" i="20"/>
  <c r="T31" i="20"/>
  <c r="T30" i="20"/>
  <c r="T29" i="20"/>
  <c r="T28" i="20"/>
  <c r="T27" i="20"/>
  <c r="T26" i="20"/>
  <c r="T25" i="20"/>
  <c r="T24" i="20"/>
  <c r="T23" i="20"/>
  <c r="T22" i="20"/>
  <c r="T21" i="20"/>
  <c r="T20" i="20"/>
  <c r="T19" i="20"/>
  <c r="T18" i="20"/>
  <c r="T17" i="20"/>
  <c r="T16" i="20"/>
  <c r="T15" i="20"/>
  <c r="T14" i="20"/>
  <c r="T13" i="20"/>
  <c r="T12" i="20"/>
  <c r="T168" i="23"/>
  <c r="T167" i="23"/>
  <c r="T164" i="23"/>
  <c r="T163" i="23"/>
  <c r="T162" i="23"/>
  <c r="T161" i="23"/>
  <c r="T160" i="23"/>
  <c r="T159" i="23"/>
  <c r="T158" i="23"/>
  <c r="T157" i="23"/>
  <c r="T156" i="23"/>
  <c r="T155" i="23"/>
  <c r="T154" i="23"/>
  <c r="T153" i="23"/>
  <c r="T152" i="23"/>
  <c r="T151" i="23"/>
  <c r="T150" i="23"/>
  <c r="T149" i="23"/>
  <c r="T148" i="23"/>
  <c r="T147" i="23"/>
  <c r="T146" i="23"/>
  <c r="T145" i="23"/>
  <c r="T144" i="23"/>
  <c r="T143" i="23"/>
  <c r="T142" i="23"/>
  <c r="T141" i="23"/>
  <c r="T140" i="23"/>
  <c r="T139" i="23"/>
  <c r="T138" i="23"/>
  <c r="T137" i="23"/>
  <c r="T136" i="23"/>
  <c r="T135" i="23"/>
  <c r="T134" i="23"/>
  <c r="T133" i="23"/>
  <c r="T132" i="23"/>
  <c r="T131" i="23"/>
  <c r="T130" i="23"/>
  <c r="T129" i="23"/>
  <c r="T128" i="23"/>
  <c r="T127" i="23"/>
  <c r="T126" i="23"/>
  <c r="T125" i="23"/>
  <c r="T124" i="23"/>
  <c r="T123" i="23"/>
  <c r="T122" i="23"/>
  <c r="T121" i="23"/>
  <c r="T120" i="23"/>
  <c r="T119" i="23"/>
  <c r="T118" i="23"/>
  <c r="T117" i="23"/>
  <c r="T116" i="23"/>
  <c r="T115" i="23"/>
  <c r="T114" i="23"/>
  <c r="T113" i="23"/>
  <c r="T112" i="23"/>
  <c r="T111" i="23"/>
  <c r="T110" i="23"/>
  <c r="T109" i="23"/>
  <c r="T108" i="23"/>
  <c r="T107" i="23"/>
  <c r="T106" i="23"/>
  <c r="T105" i="23"/>
  <c r="T104" i="23"/>
  <c r="T103" i="23"/>
  <c r="T102" i="23"/>
  <c r="T101" i="23"/>
  <c r="T100" i="23"/>
  <c r="T99" i="23"/>
  <c r="T98" i="23"/>
  <c r="T97" i="23"/>
  <c r="T96" i="23"/>
  <c r="T95" i="23"/>
  <c r="T94" i="23"/>
  <c r="T93" i="23"/>
  <c r="T92" i="23"/>
  <c r="T91" i="23"/>
  <c r="T90" i="23"/>
  <c r="T89" i="23"/>
  <c r="T88" i="23"/>
  <c r="T87" i="23"/>
  <c r="T86" i="23"/>
  <c r="T85" i="23"/>
  <c r="T84" i="23"/>
  <c r="T83" i="23"/>
  <c r="T82" i="23"/>
  <c r="T81" i="23"/>
  <c r="T80" i="23"/>
  <c r="T79" i="23"/>
  <c r="T78" i="23"/>
  <c r="T77" i="23"/>
  <c r="T76" i="23"/>
  <c r="T75" i="23"/>
  <c r="T74" i="23"/>
  <c r="T73" i="23"/>
  <c r="T72" i="23"/>
  <c r="T71" i="23"/>
  <c r="T70" i="23"/>
  <c r="T69" i="23"/>
  <c r="T68" i="23"/>
  <c r="T67" i="23"/>
  <c r="T65" i="23"/>
  <c r="T64" i="23"/>
  <c r="T63" i="23"/>
  <c r="T62" i="23"/>
  <c r="T61" i="23"/>
  <c r="T60" i="23"/>
  <c r="T59" i="23"/>
  <c r="T58" i="23"/>
  <c r="T57" i="23"/>
  <c r="T56" i="23"/>
  <c r="T55" i="23"/>
  <c r="T54" i="23"/>
  <c r="T53" i="23"/>
  <c r="T52" i="23"/>
  <c r="T51" i="23"/>
  <c r="T50" i="23"/>
  <c r="T49" i="23"/>
  <c r="T48" i="23"/>
  <c r="T47" i="23"/>
  <c r="T46" i="23"/>
  <c r="T45" i="23"/>
  <c r="T44" i="23"/>
  <c r="T43" i="23"/>
  <c r="T42" i="23"/>
  <c r="T41" i="23"/>
  <c r="T40" i="23"/>
  <c r="T39" i="23"/>
  <c r="T38" i="23"/>
  <c r="T37" i="23"/>
  <c r="T36" i="23"/>
  <c r="T35" i="23"/>
  <c r="T34" i="23"/>
  <c r="T33" i="23"/>
  <c r="T32" i="23"/>
  <c r="T31" i="23"/>
  <c r="T30" i="23"/>
  <c r="T29" i="23"/>
  <c r="T28" i="23"/>
  <c r="T27" i="23"/>
  <c r="T26" i="23"/>
  <c r="T25" i="23"/>
  <c r="T24" i="23"/>
  <c r="T23" i="23"/>
  <c r="T22" i="23"/>
  <c r="T21" i="23"/>
  <c r="T20" i="23"/>
  <c r="T19" i="23"/>
  <c r="T18" i="23"/>
  <c r="T17" i="23"/>
  <c r="T16" i="23"/>
  <c r="T15" i="23"/>
  <c r="T14" i="23"/>
  <c r="T13" i="23"/>
  <c r="T12" i="23"/>
  <c r="J186" i="22" l="1"/>
  <c r="D170" i="17"/>
  <c r="T167" i="17"/>
  <c r="D169" i="17"/>
  <c r="D177" i="23"/>
  <c r="D178" i="23"/>
  <c r="T175" i="23"/>
  <c r="T194" i="3"/>
  <c r="D198" i="3"/>
  <c r="D197" i="3"/>
  <c r="D167" i="4"/>
  <c r="D168" i="4"/>
  <c r="T165" i="4"/>
  <c r="D171" i="17" l="1"/>
  <c r="D199" i="3"/>
  <c r="D179" i="23"/>
  <c r="D169" i="4"/>
</calcChain>
</file>

<file path=xl/sharedStrings.xml><?xml version="1.0" encoding="utf-8"?>
<sst xmlns="http://schemas.openxmlformats.org/spreadsheetml/2006/main" count="3805" uniqueCount="905">
  <si>
    <t>Təsdiq edirəm:</t>
  </si>
  <si>
    <t>İcraçı prorektor _______________R.H.Bağırov</t>
  </si>
  <si>
    <t xml:space="preserve"> “______”________________2026-cı il                 </t>
  </si>
  <si>
    <t>QƏRBİ KASPİ UNİVERSİTETİNİN</t>
  </si>
  <si>
    <t xml:space="preserve">2026/2027-ci tədris ili üçün </t>
  </si>
  <si>
    <t>T A P Ş I R I Q</t>
  </si>
  <si>
    <t>Semestrlər</t>
  </si>
  <si>
    <t>Qruplar</t>
  </si>
  <si>
    <t>Fənlərin  adı</t>
  </si>
  <si>
    <t>İxtisas</t>
  </si>
  <si>
    <t>Tələbələrin  sayı</t>
  </si>
  <si>
    <t>Birləşmələrin sayı</t>
  </si>
  <si>
    <t>Qrup və yarım .qruplarınn  sayı</t>
  </si>
  <si>
    <t>Mühazirə</t>
  </si>
  <si>
    <t>Təcrübi və ya seminar</t>
  </si>
  <si>
    <t>Laboratoriya məşğələsi</t>
  </si>
  <si>
    <t>Məsləhət</t>
  </si>
  <si>
    <t>İmtahan</t>
  </si>
  <si>
    <t>Buraxılış və dissertasiya işinə rəhbərlik</t>
  </si>
  <si>
    <t>Dissertant və doktorantlara  rəhbərlik</t>
  </si>
  <si>
    <t>Təcrübələr</t>
  </si>
  <si>
    <t>CƏMİ</t>
  </si>
  <si>
    <t>Kreditlərin sayı</t>
  </si>
  <si>
    <t>Plan üzrə</t>
  </si>
  <si>
    <t>Cəmi</t>
  </si>
  <si>
    <t>Elmi-tədqiqat, elmi-pedaqoji</t>
  </si>
  <si>
    <t>İstehsalat</t>
  </si>
  <si>
    <t>PAYIZ</t>
  </si>
  <si>
    <t>233 M</t>
  </si>
  <si>
    <t>Meşəçilik</t>
  </si>
  <si>
    <t>233 M rus</t>
  </si>
  <si>
    <t>233 SBİO az</t>
  </si>
  <si>
    <t>su bioeht.</t>
  </si>
  <si>
    <t>233 SBİO ing</t>
  </si>
  <si>
    <t>Tədqiqat metodları</t>
  </si>
  <si>
    <t>10
8</t>
  </si>
  <si>
    <t>YAZ</t>
  </si>
  <si>
    <t>İqtisadiyyat</t>
  </si>
  <si>
    <t>Biznesin idarə edilməsi</t>
  </si>
  <si>
    <t>Təcrübə</t>
  </si>
  <si>
    <t>Buraxılış işi</t>
  </si>
  <si>
    <t>SEMESTR</t>
  </si>
  <si>
    <t xml:space="preserve">PAYIZ </t>
  </si>
  <si>
    <t xml:space="preserve">YAZ </t>
  </si>
  <si>
    <t>KAFEDRA ÜZRƏ  YEKUN</t>
  </si>
  <si>
    <t xml:space="preserve">  </t>
  </si>
  <si>
    <t>7
4</t>
  </si>
  <si>
    <t>Tədqiqat analitikası</t>
  </si>
  <si>
    <t>534 Bİ ing
534 MRK ing</t>
  </si>
  <si>
    <t>23
15</t>
  </si>
  <si>
    <t>7
7</t>
  </si>
  <si>
    <t>Elmi tədqiqat təcrübəsi</t>
  </si>
  <si>
    <t>Elmi pedaqoji təcrübə</t>
  </si>
  <si>
    <t>11
17
32</t>
  </si>
  <si>
    <t>Təh.sos.ps.x.</t>
  </si>
  <si>
    <t>235 M</t>
  </si>
  <si>
    <t>Marketinq</t>
  </si>
  <si>
    <t>533 Bİ ing</t>
  </si>
  <si>
    <t>533 MRK az</t>
  </si>
  <si>
    <t>534 DBİ</t>
  </si>
  <si>
    <t>Dövlət və bələdiyyənin idarəedilməsi</t>
  </si>
  <si>
    <t>2534 Bİ
2534 MRK
2534 İ
2534 ML
2534 MU</t>
  </si>
  <si>
    <t>10
12
6
7
7</t>
  </si>
  <si>
    <t>234 İ</t>
  </si>
  <si>
    <t>İnform.təh</t>
  </si>
  <si>
    <t>234 İ ing</t>
  </si>
  <si>
    <t>536 İ
536 ML
536 MU</t>
  </si>
  <si>
    <t>25
30
50</t>
  </si>
  <si>
    <t>535 İ
535 ML
535 MU</t>
  </si>
  <si>
    <t>8
7</t>
  </si>
  <si>
    <t>regionşünaslıq</t>
  </si>
  <si>
    <t>536 Bİ</t>
  </si>
  <si>
    <t>136 Sİ</t>
  </si>
  <si>
    <t>Sosial iş</t>
  </si>
  <si>
    <t>136 Sİ ing</t>
  </si>
  <si>
    <t>13
11
6
15
14</t>
  </si>
  <si>
    <t xml:space="preserve"> </t>
  </si>
  <si>
    <t>Psixologiya</t>
  </si>
  <si>
    <t>Komp.müh</t>
  </si>
  <si>
    <t>İnform.tex</t>
  </si>
  <si>
    <t>Cihaz müh.</t>
  </si>
  <si>
    <t>Ekologiya</t>
  </si>
  <si>
    <t>2236 M</t>
  </si>
  <si>
    <t>tarix</t>
  </si>
  <si>
    <t>435 R ing</t>
  </si>
  <si>
    <t>Tarix</t>
  </si>
  <si>
    <t>235 BİO az</t>
  </si>
  <si>
    <t>235 BİO ing</t>
  </si>
  <si>
    <t>235 SBİO</t>
  </si>
  <si>
    <t>Su bioeht.</t>
  </si>
  <si>
    <t>236 YDK</t>
  </si>
  <si>
    <t>236 BT</t>
  </si>
  <si>
    <t>236 MRM</t>
  </si>
  <si>
    <t>Mexat.və rob</t>
  </si>
  <si>
    <t>236 MRM ing</t>
  </si>
  <si>
    <t>134 T</t>
  </si>
  <si>
    <t>“Xarici dillər” kafedrasına verilmiş tədris-pedaqoji</t>
  </si>
  <si>
    <t>Filologiya (ingilis dili və ədəbiyyat)</t>
  </si>
  <si>
    <t>24
25</t>
  </si>
  <si>
    <t>30
20</t>
  </si>
  <si>
    <t>İnform. təh</t>
  </si>
  <si>
    <t>“Ekologiya və ətraf mühit ” kafedrasına verilmiş tədris-pedaqoji</t>
  </si>
  <si>
    <t xml:space="preserve">035
'035 ing
</t>
  </si>
  <si>
    <t>Mülki müdafiə</t>
  </si>
  <si>
    <t xml:space="preserve">Psixologiya
</t>
  </si>
  <si>
    <t>24
33</t>
  </si>
  <si>
    <t xml:space="preserve">
3/335F1
3/335F2
</t>
  </si>
  <si>
    <t>135 TSPX</t>
  </si>
  <si>
    <t>Mülki müdafiə və ilkin tibbi yardım</t>
  </si>
  <si>
    <t>135 Sİ
135 Sİ ing</t>
  </si>
  <si>
    <t>47
22</t>
  </si>
  <si>
    <t>236 K
234 İ</t>
  </si>
  <si>
    <t>Komp.müh
İnform.təh</t>
  </si>
  <si>
    <t>30
19</t>
  </si>
  <si>
    <t>236 K ing
236 MRM ing</t>
  </si>
  <si>
    <t>Komp.müh
Mexat.və rob</t>
  </si>
  <si>
    <t>236 KE
236 MRM</t>
  </si>
  <si>
    <t>Komp.elm
Mexat.və rob</t>
  </si>
  <si>
    <t>40
20</t>
  </si>
  <si>
    <t>236 KE ing
234 İ ing
235 EM</t>
  </si>
  <si>
    <t>Komp.elm
İnform.tex</t>
  </si>
  <si>
    <t>25
17
37</t>
  </si>
  <si>
    <t>236 İT
236 CM</t>
  </si>
  <si>
    <t>İnform.tex
Cihaz müh.</t>
  </si>
  <si>
    <t>236 İT ing
'236 BİO ing</t>
  </si>
  <si>
    <t>İnform.tex
Biologiya</t>
  </si>
  <si>
    <t>30
25</t>
  </si>
  <si>
    <t>236 EKO</t>
  </si>
  <si>
    <t>Ümumi ekologiya</t>
  </si>
  <si>
    <t>236 EKO
236 BİO</t>
  </si>
  <si>
    <t>Ekologiya
Biologiya</t>
  </si>
  <si>
    <t>30
35</t>
  </si>
  <si>
    <t>236 EKO
236 M</t>
  </si>
  <si>
    <t>Torpaqşünaslıq</t>
  </si>
  <si>
    <t>30
40</t>
  </si>
  <si>
    <t>236 EM</t>
  </si>
  <si>
    <t>Ekolog.müh</t>
  </si>
  <si>
    <t>236 M</t>
  </si>
  <si>
    <t>Meteorologiya və iqlimşünaslıq</t>
  </si>
  <si>
    <t>Əmək mühafizəsi</t>
  </si>
  <si>
    <t>235 EKO</t>
  </si>
  <si>
    <t>Ekoloji kimya</t>
  </si>
  <si>
    <t>Biosfer və onun mühafizəsi</t>
  </si>
  <si>
    <t>Coğrafi ekologiya</t>
  </si>
  <si>
    <t>235 EKO
235 M</t>
  </si>
  <si>
    <r>
      <rPr>
        <b/>
        <sz val="10"/>
        <color theme="1"/>
        <rFont val="Times New Roman"/>
        <family val="1"/>
      </rPr>
      <t>ATMF I blok:
1. Bitki ekologiyası +</t>
    </r>
    <r>
      <rPr>
        <sz val="10"/>
        <color theme="1"/>
        <rFont val="Times New Roman"/>
        <family val="1"/>
      </rPr>
      <t xml:space="preserve">
2. Azərbaycanın flora və faunası
3. Ekosistemlərin biomüxtəlifliyi</t>
    </r>
  </si>
  <si>
    <t>23
30</t>
  </si>
  <si>
    <t>235 EKO
235 EM</t>
  </si>
  <si>
    <r>
      <rPr>
        <b/>
        <sz val="10"/>
        <color theme="1"/>
        <rFont val="Times New Roman"/>
        <family val="1"/>
      </rPr>
      <t>ATMF</t>
    </r>
    <r>
      <rPr>
        <sz val="10"/>
        <color theme="1"/>
        <rFont val="Times New Roman"/>
        <family val="1"/>
      </rPr>
      <t xml:space="preserve">  </t>
    </r>
    <r>
      <rPr>
        <b/>
        <i/>
        <sz val="10"/>
        <color theme="1"/>
        <rFont val="Times New Roman"/>
        <family val="1"/>
      </rPr>
      <t xml:space="preserve">II  blok: 
</t>
    </r>
    <r>
      <rPr>
        <b/>
        <sz val="10"/>
        <color theme="1"/>
        <rFont val="Times New Roman"/>
        <family val="1"/>
      </rPr>
      <t>1. Hidrologiya +</t>
    </r>
    <r>
      <rPr>
        <sz val="10"/>
        <color theme="1"/>
        <rFont val="Times New Roman"/>
        <family val="1"/>
      </rPr>
      <t xml:space="preserve">
2.Su ehtiyyatlarının formalaşması
3. Suların təmizlənməsi və mühafizəsi</t>
    </r>
  </si>
  <si>
    <t>23
37</t>
  </si>
  <si>
    <t>Dendrologiya</t>
  </si>
  <si>
    <r>
      <rPr>
        <sz val="10"/>
        <color theme="1"/>
        <rFont val="Times New Roman"/>
        <family val="1"/>
      </rPr>
      <t xml:space="preserve">ATMF II blok:
1. Meşəşünaslıq
2. Dünya meşələrinin yayılması və tərkibi
</t>
    </r>
    <r>
      <rPr>
        <b/>
        <sz val="10"/>
        <color theme="1"/>
        <rFont val="Times New Roman"/>
        <family val="1"/>
      </rPr>
      <t>3. Meşə ekosistemləri</t>
    </r>
  </si>
  <si>
    <r>
      <rPr>
        <sz val="10"/>
        <color theme="1"/>
        <rFont val="Times New Roman"/>
        <family val="1"/>
      </rPr>
      <t xml:space="preserve">ATMF III blok:
1. Rekreasiya meşəçiliyi
2. Meşə park təsərrüfatı
</t>
    </r>
    <r>
      <rPr>
        <b/>
        <sz val="10"/>
        <color theme="1"/>
        <rFont val="Times New Roman"/>
        <family val="1"/>
      </rPr>
      <t>3. Yaşıllıq təsərrüfatı</t>
    </r>
  </si>
  <si>
    <t>234 EKO</t>
  </si>
  <si>
    <t>234 EKO ing</t>
  </si>
  <si>
    <t>Landşaftşünaslıq və landşaftın ekologiyası</t>
  </si>
  <si>
    <t>Təbii resursların dayanıqlı idarə edilməsi</t>
  </si>
  <si>
    <t>Sənaye ekologiyası</t>
  </si>
  <si>
    <r>
      <rPr>
        <sz val="10"/>
        <color theme="1"/>
        <rFont val="Times New Roman"/>
        <family val="1"/>
      </rPr>
      <t xml:space="preserve">ATMF VI blok: 
1. Yer quruluşu və kadastr
2. Kadastr xəritələrinin tətbiqi
</t>
    </r>
    <r>
      <rPr>
        <b/>
        <sz val="10"/>
        <color theme="1"/>
        <rFont val="Times New Roman"/>
        <family val="1"/>
      </rPr>
      <t>3. Ümumi coğrafi xəritələrin layihələn. və tərtibi</t>
    </r>
  </si>
  <si>
    <r>
      <rPr>
        <b/>
        <sz val="10"/>
        <color theme="1"/>
        <rFont val="Times New Roman"/>
        <family val="1"/>
      </rPr>
      <t xml:space="preserve">ATMF VII blok: </t>
    </r>
    <r>
      <rPr>
        <sz val="10"/>
        <color theme="1"/>
        <rFont val="Times New Roman"/>
        <family val="1"/>
      </rPr>
      <t xml:space="preserve">
1. Regional ekologiya
2. Alternativ enerji mənbələrinin ekoloji təhlükəsizliyi
</t>
    </r>
    <r>
      <rPr>
        <b/>
        <sz val="10"/>
        <color theme="1"/>
        <rFont val="Times New Roman"/>
        <family val="1"/>
      </rPr>
      <t>3. Təbiətdən istifadənin ekoloji əsasları +</t>
    </r>
  </si>
  <si>
    <t>235 EM</t>
  </si>
  <si>
    <r>
      <rPr>
        <sz val="10"/>
        <color theme="1"/>
        <rFont val="Times New Roman"/>
        <family val="1"/>
      </rPr>
      <t xml:space="preserve">ATMF III blok:
</t>
    </r>
    <r>
      <rPr>
        <b/>
        <sz val="10"/>
        <color theme="1"/>
        <rFont val="Times New Roman"/>
        <family val="1"/>
      </rPr>
      <t>1. Havanın çirklənmə mənbələri</t>
    </r>
    <r>
      <rPr>
        <sz val="10"/>
        <color theme="1"/>
        <rFont val="Times New Roman"/>
        <family val="1"/>
      </rPr>
      <t xml:space="preserve">
2. Havanın təmizləmə texnologiyası</t>
    </r>
  </si>
  <si>
    <r>
      <rPr>
        <sz val="10"/>
        <color theme="1"/>
        <rFont val="Times New Roman"/>
        <family val="1"/>
      </rPr>
      <t xml:space="preserve">ATMF XVI:
</t>
    </r>
    <r>
      <rPr>
        <b/>
        <sz val="10"/>
        <color theme="1"/>
        <rFont val="Times New Roman"/>
        <family val="1"/>
      </rPr>
      <t>1. Xüsusi qorunan ərazilərin strukturu və mühafizəsi</t>
    </r>
    <r>
      <rPr>
        <sz val="10"/>
        <color theme="1"/>
        <rFont val="Times New Roman"/>
        <family val="1"/>
      </rPr>
      <t xml:space="preserve">
2. Milli parkların funksiyaları və mühafizəsi</t>
    </r>
  </si>
  <si>
    <t>234 M</t>
  </si>
  <si>
    <t>Oduncaqşünaslıq və meşə əmtəəşünaslığı</t>
  </si>
  <si>
    <t>234 M rus</t>
  </si>
  <si>
    <r>
      <rPr>
        <sz val="10"/>
        <color theme="1"/>
        <rFont val="Times New Roman"/>
        <family val="1"/>
      </rPr>
      <t xml:space="preserve">ATMF VI blok:
</t>
    </r>
    <r>
      <rPr>
        <b/>
        <sz val="10"/>
        <color theme="1"/>
        <rFont val="Times New Roman"/>
        <family val="1"/>
      </rPr>
      <t>1. Meşə mühafizəsi</t>
    </r>
    <r>
      <rPr>
        <sz val="10"/>
        <color theme="1"/>
        <rFont val="Times New Roman"/>
        <family val="1"/>
      </rPr>
      <t xml:space="preserve">
2. Meşə yanğınları 
3. Meşələrin sanitar tədbirləri</t>
    </r>
  </si>
  <si>
    <r>
      <rPr>
        <sz val="10"/>
        <color theme="1"/>
        <rFont val="Times New Roman"/>
        <family val="1"/>
      </rPr>
      <t xml:space="preserve">ATMF VII blok:.
1. Meşə sertifikasiyası
</t>
    </r>
    <r>
      <rPr>
        <b/>
        <sz val="10"/>
        <color theme="1"/>
        <rFont val="Times New Roman"/>
        <family val="1"/>
      </rPr>
      <t>2. Meşə qanunvericiliyi və idarəçiliyi</t>
    </r>
    <r>
      <rPr>
        <sz val="10"/>
        <color theme="1"/>
        <rFont val="Times New Roman"/>
        <family val="1"/>
      </rPr>
      <t xml:space="preserve">
3. Meşələrin istifadəsinin hüquqi əsasları</t>
    </r>
  </si>
  <si>
    <r>
      <rPr>
        <b/>
        <sz val="10"/>
        <color theme="1"/>
        <rFont val="Times New Roman"/>
        <family val="1"/>
      </rPr>
      <t xml:space="preserve">ATMF VII blok:.
</t>
    </r>
    <r>
      <rPr>
        <sz val="10"/>
        <color theme="1"/>
        <rFont val="Times New Roman"/>
        <family val="1"/>
      </rPr>
      <t xml:space="preserve">1. Meşə sertifikasiyası 
</t>
    </r>
    <r>
      <rPr>
        <b/>
        <sz val="10"/>
        <color theme="1"/>
        <rFont val="Times New Roman"/>
        <family val="1"/>
      </rPr>
      <t>2. Meşə qanunvericiliyi və idarəçiliyi+</t>
    </r>
    <r>
      <rPr>
        <sz val="10"/>
        <color theme="1"/>
        <rFont val="Times New Roman"/>
        <family val="1"/>
      </rPr>
      <t xml:space="preserve">
3. Meşələrin istifadəsinin hüquqi əsasları</t>
    </r>
  </si>
  <si>
    <r>
      <rPr>
        <b/>
        <sz val="10"/>
        <color theme="1"/>
        <rFont val="Times New Roman"/>
        <family val="1"/>
      </rPr>
      <t>ATMF VIII blok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1. Təsərrüfatların intensiv idarə edilməsi +</t>
    </r>
    <r>
      <rPr>
        <sz val="10"/>
        <color theme="1"/>
        <rFont val="Times New Roman"/>
        <family val="1"/>
      </rPr>
      <t xml:space="preserve">
2. İntensiv təsərrüfatların yaradılması
3  İntensiv təsərrüfatların fəaliyyət sahələri       </t>
    </r>
  </si>
  <si>
    <t>233 EKO</t>
  </si>
  <si>
    <t>Ekoloji kartoqrafiya və coğrafi informasiya sistemləri</t>
  </si>
  <si>
    <t>233 EKO ing</t>
  </si>
  <si>
    <t>Ekoloji monitorinq</t>
  </si>
  <si>
    <r>
      <rPr>
        <b/>
        <sz val="10"/>
        <color theme="1"/>
        <rFont val="Times New Roman"/>
        <family val="1"/>
      </rPr>
      <t>ATMF XI blok:</t>
    </r>
    <r>
      <rPr>
        <sz val="10"/>
        <color theme="1"/>
        <rFont val="Times New Roman"/>
        <family val="1"/>
      </rPr>
      <t xml:space="preserve">
1. Abşeron yarımadasının landşaft-ekoloji şərtləri
</t>
    </r>
    <r>
      <rPr>
        <b/>
        <sz val="10"/>
        <color theme="1"/>
        <rFont val="Times New Roman"/>
        <family val="1"/>
      </rPr>
      <t>2. Qida təhlükəsizliyinin təmin edilməsi +</t>
    </r>
    <r>
      <rPr>
        <sz val="10"/>
        <color theme="1"/>
        <rFont val="Times New Roman"/>
        <family val="1"/>
      </rPr>
      <t xml:space="preserve">
3. Ekoloji təmiz məhsullar</t>
    </r>
  </si>
  <si>
    <r>
      <rPr>
        <b/>
        <sz val="10"/>
        <color theme="1"/>
        <rFont val="Times New Roman"/>
        <family val="1"/>
      </rPr>
      <t>ATMF XII blok:</t>
    </r>
    <r>
      <rPr>
        <sz val="10"/>
        <color theme="1"/>
        <rFont val="Times New Roman"/>
        <family val="1"/>
      </rPr>
      <t xml:space="preserve">
1. Tullantısız istehsal prosesinin təşkili
</t>
    </r>
    <r>
      <rPr>
        <b/>
        <sz val="10"/>
        <color theme="1"/>
        <rFont val="Times New Roman"/>
        <family val="1"/>
      </rPr>
      <t>2. Tullantıların təkrar emalı +</t>
    </r>
    <r>
      <rPr>
        <sz val="10"/>
        <color theme="1"/>
        <rFont val="Times New Roman"/>
        <family val="1"/>
      </rPr>
      <t xml:space="preserve">
3. Tullantıların ekoloji qiymətləndirilməsi</t>
    </r>
  </si>
  <si>
    <t>Meşə entomologiyası</t>
  </si>
  <si>
    <t>Fitopatologiya</t>
  </si>
  <si>
    <t>Meşə quruluşu</t>
  </si>
  <si>
    <r>
      <rPr>
        <b/>
        <sz val="10"/>
        <color theme="1"/>
        <rFont val="Times New Roman"/>
        <family val="1"/>
      </rPr>
      <t>ATMF XII blok: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1. Meşə resurslarının səmərəli istifadəsi+</t>
    </r>
    <r>
      <rPr>
        <sz val="10"/>
        <color theme="1"/>
        <rFont val="Times New Roman"/>
        <family val="1"/>
      </rPr>
      <t xml:space="preserve">
2. Meşə-bağ təsərrüfatının yaradılması
3. Oduncaq xammalının ilkin emalı</t>
    </r>
  </si>
  <si>
    <t>yer qur. və kad.</t>
  </si>
  <si>
    <t>Geodeziya-1</t>
  </si>
  <si>
    <r>
      <rPr>
        <b/>
        <sz val="10"/>
        <color theme="1"/>
        <rFont val="Times New Roman"/>
        <family val="1"/>
      </rPr>
      <t>ATMF XIII blok:</t>
    </r>
    <r>
      <rPr>
        <sz val="10"/>
        <color theme="1"/>
        <rFont val="Times New Roman"/>
        <family val="1"/>
      </rPr>
      <t xml:space="preserve">
1. Meşə quruluşu işlərinin layihələndirilməsi
2. Meşə fondunun inventarlaşdırılması
</t>
    </r>
    <r>
      <rPr>
        <b/>
        <sz val="10"/>
        <color theme="1"/>
        <rFont val="Times New Roman"/>
        <family val="1"/>
      </rPr>
      <t>3. Meşələrin yerüstü monitorinqi +</t>
    </r>
  </si>
  <si>
    <t>2235 M</t>
  </si>
  <si>
    <t>2234 M</t>
  </si>
  <si>
    <t>Meşə genetikası və seleksiyası</t>
  </si>
  <si>
    <t>Meşə əkinləri</t>
  </si>
  <si>
    <t>2233 M</t>
  </si>
  <si>
    <t>Bəzək bağçılığı və peyzaj dizaynı</t>
  </si>
  <si>
    <t>Meşə taksasiyası</t>
  </si>
  <si>
    <t>2232 M</t>
  </si>
  <si>
    <r>
      <rPr>
        <sz val="10"/>
        <color theme="1"/>
        <rFont val="Times New Roman"/>
        <family val="1"/>
      </rPr>
      <t xml:space="preserve">ATMF XI blok:
1. Meşə resurslarının səmərəli istifadəsi
</t>
    </r>
    <r>
      <rPr>
        <b/>
        <sz val="10"/>
        <color theme="1"/>
        <rFont val="Times New Roman"/>
        <family val="1"/>
      </rPr>
      <t>2. Meşə-bağ təsərrüfatının yaradılması</t>
    </r>
    <r>
      <rPr>
        <sz val="10"/>
        <color theme="1"/>
        <rFont val="Times New Roman"/>
        <family val="1"/>
      </rPr>
      <t xml:space="preserve">
3. Oduncaq xammalının ilkin emalı</t>
    </r>
  </si>
  <si>
    <r>
      <rPr>
        <sz val="10"/>
        <color theme="1"/>
        <rFont val="Times New Roman"/>
        <family val="1"/>
      </rPr>
      <t xml:space="preserve">ATMF XII blok:
1. Meşə quruluşu işlərinin layihələndirilməsi
2. Meşə fondlarının inventarlaşdırılması 
</t>
    </r>
    <r>
      <rPr>
        <b/>
        <sz val="10"/>
        <color theme="1"/>
        <rFont val="Times New Roman"/>
        <family val="1"/>
      </rPr>
      <t>3. Meşələrin yerüstü monitorinqi</t>
    </r>
  </si>
  <si>
    <t>533 T
533 TB az
533  TB ing</t>
  </si>
  <si>
    <t>Turizm işinin təşkili
turizm bələdçiliyi</t>
  </si>
  <si>
    <t>45
17
11</t>
  </si>
  <si>
    <t>Biznesin
 idarə 
edilməsi 
Marketinq
İqtisadiyyat
Maliyyə 
Mühasibat</t>
  </si>
  <si>
    <t>635 Q
635 İ</t>
  </si>
  <si>
    <t>qrafik dizayn</t>
  </si>
  <si>
    <t>25
26</t>
  </si>
  <si>
    <t>234 SBİO az</t>
  </si>
  <si>
    <t>234 SBİO ing</t>
  </si>
  <si>
    <t>435 R az
935 BM az
135 F</t>
  </si>
  <si>
    <t>mülki müdafiə</t>
  </si>
  <si>
    <r>
      <rPr>
        <sz val="10"/>
        <color theme="1"/>
        <rFont val="Times New Roman"/>
        <family val="1"/>
      </rPr>
      <t xml:space="preserve">regionşünaslıq
Beynəl.mün
</t>
    </r>
    <r>
      <rPr>
        <b/>
        <sz val="10"/>
        <color theme="1"/>
        <rFont val="Times New Roman"/>
        <family val="1"/>
      </rPr>
      <t>Fəlsəfə</t>
    </r>
  </si>
  <si>
    <t>28
25
19</t>
  </si>
  <si>
    <t>435 R ing
935 BM ing</t>
  </si>
  <si>
    <t>regionşünaslıq
Beynəl.mün</t>
  </si>
  <si>
    <t>31
25</t>
  </si>
  <si>
    <t>136 T az
136 T ing</t>
  </si>
  <si>
    <t>30
30</t>
  </si>
  <si>
    <t>336 F  
336 T</t>
  </si>
  <si>
    <t>filologiya
 (İngilis dili və
 ədəbiyyat)
Tərcümə</t>
  </si>
  <si>
    <t>40
70</t>
  </si>
  <si>
    <t>235 QM</t>
  </si>
  <si>
    <t>Sağlamlıq və əməyin mühafizəsi</t>
  </si>
  <si>
    <t>Qida müh</t>
  </si>
  <si>
    <t>Aqroekoloji tədqiqatların riyazi analizi</t>
  </si>
  <si>
    <t>Magistr ekologiya</t>
  </si>
  <si>
    <t>Ekoloji uyğunlaşdırılmış kənd təsərrüfatı məhsullarının istehsal problemləri</t>
  </si>
  <si>
    <t>II seçmə fənn bloku
1.Heyvandarlıq təsərrüfatının ərazi təşkili və ətraf mühitin mühafizəsi
2.Heyvandarlığın inkişafı və ekoloji problemləri</t>
  </si>
  <si>
    <t>III seçmə fənn bloku
1.Aqroiqlim ehtiyyatları və onların kənd təsərrüfatında rolu
2.Aqrokimya və ətraf mühitin mühafizəsi</t>
  </si>
  <si>
    <t>510/6 E
510/6 BE</t>
  </si>
  <si>
    <t>Magistr
ətraf müh.
Bioekologiya</t>
  </si>
  <si>
    <t>8
10</t>
  </si>
  <si>
    <t>510/6 BE</t>
  </si>
  <si>
    <t>Quru ərazilərin bioresursları</t>
  </si>
  <si>
    <t>Magistr
Bioekologiya</t>
  </si>
  <si>
    <t>Bioekologiyanın müasir problemləri</t>
  </si>
  <si>
    <t>Xəzər dənizinin bioresursları</t>
  </si>
  <si>
    <t>Bitki ekosistemləri</t>
  </si>
  <si>
    <t xml:space="preserve">510/6 E </t>
  </si>
  <si>
    <t>Atmosferin ekologiyası və tənzimlənməsi</t>
  </si>
  <si>
    <t>Ekologiyanın müasir problemləri</t>
  </si>
  <si>
    <t>Ekoloji biznesin təşkili</t>
  </si>
  <si>
    <t>Təbii ehtiyyatların səmərəli istifadəsinin ekoloji problemləri</t>
  </si>
  <si>
    <r>
      <rPr>
        <sz val="10"/>
        <color theme="1"/>
        <rFont val="Times New Roman"/>
        <family val="1"/>
      </rPr>
      <t xml:space="preserve">ATMF XI blok
1.Ekoloji hüquq
2.Balıqçılıq təsərüffatının qanunvericiliyi
</t>
    </r>
    <r>
      <rPr>
        <b/>
        <sz val="10"/>
        <color theme="1"/>
        <rFont val="Times New Roman"/>
        <family val="1"/>
      </rPr>
      <t>3.Su hövzələrinin ekoloji normalaşdırılması, monitorinq, ekspertizası və auditi</t>
    </r>
  </si>
  <si>
    <t>Yer elminin əsasları</t>
  </si>
  <si>
    <t>ATMF I blok:
1. Nəqliyyat çirkləndiriciləri
2. Ekoloji təmiz nəqliyyat vasitələrinin istifadəsi</t>
  </si>
  <si>
    <t>236 QM</t>
  </si>
  <si>
    <t>Heyvan ekologiyası</t>
  </si>
  <si>
    <t>Hava və suyun keyfiyyəti, çirklənməsi və mühafizəsi</t>
  </si>
  <si>
    <r>
      <rPr>
        <b/>
        <sz val="10"/>
        <color theme="1"/>
        <rFont val="Times New Roman"/>
        <family val="1"/>
      </rPr>
      <t>ATMF III blok:</t>
    </r>
    <r>
      <rPr>
        <sz val="10"/>
        <color theme="1"/>
        <rFont val="Times New Roman"/>
        <family val="1"/>
      </rPr>
      <t xml:space="preserve">
1.Ekoloji monitorinq üsulları
2. Eksperment materiallarının yığılması, işlənməsi və analizi
</t>
    </r>
    <r>
      <rPr>
        <b/>
        <sz val="10"/>
        <color theme="1"/>
        <rFont val="Times New Roman"/>
        <family val="1"/>
      </rPr>
      <t>3. Ekosistemlərin modelləşdirilməsi və sistemli analizi</t>
    </r>
  </si>
  <si>
    <r>
      <rPr>
        <sz val="10"/>
        <color theme="1"/>
        <rFont val="Times New Roman"/>
        <family val="1"/>
      </rPr>
      <t xml:space="preserve">ATMF  IV blok:
1.Meterologiya və iqlimşünaslıq
</t>
    </r>
    <r>
      <rPr>
        <b/>
        <sz val="10"/>
        <color theme="1"/>
        <rFont val="Times New Roman"/>
        <family val="1"/>
      </rPr>
      <t>2.Ekoloji risklərin tədqiqi və idarəedilməsi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.Orqanizmlərin həyat fəaliyyətinin təhlükəsizliyi</t>
    </r>
  </si>
  <si>
    <t>Geodeziya</t>
  </si>
  <si>
    <t xml:space="preserve">Meşə genetikası və seleksiyası  </t>
  </si>
  <si>
    <r>
      <rPr>
        <b/>
        <sz val="10"/>
        <color theme="1"/>
        <rFont val="Times New Roman"/>
        <family val="1"/>
      </rPr>
      <t>ATMF IV blok:
1. Meşələrin ekoloji faydalılıqları</t>
    </r>
    <r>
      <rPr>
        <sz val="10"/>
        <color theme="1"/>
        <rFont val="Times New Roman"/>
        <family val="1"/>
      </rPr>
      <t xml:space="preserve">
2. Meşələrin əlavə istifadəsi
3. Meşə turizmi</t>
    </r>
  </si>
  <si>
    <r>
      <rPr>
        <b/>
        <sz val="10"/>
        <color theme="1"/>
        <rFont val="Times New Roman"/>
        <family val="1"/>
      </rPr>
      <t>ATMF V blok:</t>
    </r>
    <r>
      <rPr>
        <sz val="10"/>
        <color theme="1"/>
        <rFont val="Times New Roman"/>
        <family val="1"/>
      </rPr>
      <t xml:space="preserve">
1. Meşə toxumculuğu
</t>
    </r>
    <r>
      <rPr>
        <b/>
        <sz val="10"/>
        <color theme="1"/>
        <rFont val="Times New Roman"/>
        <family val="1"/>
      </rPr>
      <t xml:space="preserve">2. Tingçilik təsərrüfatı </t>
    </r>
    <r>
      <rPr>
        <sz val="10"/>
        <color theme="1"/>
        <rFont val="Times New Roman"/>
        <family val="1"/>
      </rPr>
      <t xml:space="preserve">
3. Ağac cinslərinin introduksiyası</t>
    </r>
  </si>
  <si>
    <t>Ekoloji tədqiqat metodları</t>
  </si>
  <si>
    <t>İnsan ekologiyası və dayanıqlı inkişaf</t>
  </si>
  <si>
    <t>234 EKO az</t>
  </si>
  <si>
    <t>Biomüxtəlifliyin qorunması</t>
  </si>
  <si>
    <r>
      <rPr>
        <b/>
        <sz val="10"/>
        <color theme="1"/>
        <rFont val="Times New Roman"/>
        <family val="1"/>
      </rPr>
      <t>ATMF IX blok:</t>
    </r>
    <r>
      <rPr>
        <sz val="10"/>
        <color theme="1"/>
        <rFont val="Times New Roman"/>
        <family val="1"/>
      </rPr>
      <t xml:space="preserve"> 
1. Aqrokimya və ətraf mühitin mühafizəsi 
</t>
    </r>
    <r>
      <rPr>
        <b/>
        <sz val="10"/>
        <color theme="1"/>
        <rFont val="Times New Roman"/>
        <family val="1"/>
      </rPr>
      <t>2. Nəqliyyatın ekoloji problemləri +</t>
    </r>
    <r>
      <rPr>
        <sz val="10"/>
        <color theme="1"/>
        <rFont val="Times New Roman"/>
        <family val="1"/>
      </rPr>
      <t xml:space="preserve">
3. Yerüstü ekosistemlərin monitorinqi</t>
    </r>
  </si>
  <si>
    <r>
      <rPr>
        <b/>
        <sz val="10"/>
        <color theme="1"/>
        <rFont val="Times New Roman"/>
        <family val="1"/>
      </rPr>
      <t>ATMF VIII blok:
1. Qlobal ekoloji problemlər +</t>
    </r>
    <r>
      <rPr>
        <sz val="10"/>
        <color theme="1"/>
        <rFont val="Times New Roman"/>
        <family val="1"/>
      </rPr>
      <t xml:space="preserve">
2. Litosferin ekologiyası
3. Təbii fəlakətlər və onların aradan qaldırılması</t>
    </r>
  </si>
  <si>
    <r>
      <rPr>
        <b/>
        <sz val="10"/>
        <color theme="1"/>
        <rFont val="Times New Roman"/>
        <family val="1"/>
      </rPr>
      <t>ATMF IX blok:</t>
    </r>
    <r>
      <rPr>
        <sz val="10"/>
        <color theme="1"/>
        <rFont val="Times New Roman"/>
        <family val="1"/>
      </rPr>
      <t xml:space="preserve">
1. Atmosferdə ekokimyəvi proseslər
</t>
    </r>
    <r>
      <rPr>
        <b/>
        <sz val="10"/>
        <color theme="1"/>
        <rFont val="Times New Roman"/>
        <family val="1"/>
      </rPr>
      <t>2. Biosferin kimyəvi çirklənməsi +</t>
    </r>
    <r>
      <rPr>
        <sz val="10"/>
        <color theme="1"/>
        <rFont val="Times New Roman"/>
        <family val="1"/>
      </rPr>
      <t xml:space="preserve">
3. Ekosistem və toksikantlar</t>
    </r>
  </si>
  <si>
    <t>Ətraf mühitin kimyası və toksikologiyanın əsasları</t>
  </si>
  <si>
    <t>Ekologiya mühəndisliyi</t>
  </si>
  <si>
    <r>
      <rPr>
        <sz val="10"/>
        <color theme="1"/>
        <rFont val="Times New Roman"/>
        <family val="1"/>
      </rPr>
      <t xml:space="preserve">ATMF IV blok:
</t>
    </r>
    <r>
      <rPr>
        <b/>
        <sz val="10"/>
        <color theme="1"/>
        <rFont val="Times New Roman"/>
        <family val="1"/>
      </rPr>
      <t>1. Suyun tərkibi və çirkləndiriciləri</t>
    </r>
    <r>
      <rPr>
        <sz val="10"/>
        <color theme="1"/>
        <rFont val="Times New Roman"/>
        <family val="1"/>
      </rPr>
      <t xml:space="preserve">
2. Suyun təmizlənmə texnologiyası</t>
    </r>
  </si>
  <si>
    <r>
      <rPr>
        <sz val="10"/>
        <color theme="1"/>
        <rFont val="Times New Roman"/>
        <family val="1"/>
      </rPr>
      <t xml:space="preserve">ATMF V blok:
</t>
    </r>
    <r>
      <rPr>
        <b/>
        <sz val="10"/>
        <color theme="1"/>
        <rFont val="Times New Roman"/>
        <family val="1"/>
      </rPr>
      <t xml:space="preserve">1. Torpaqların çirkləndiriciləri </t>
    </r>
    <r>
      <rPr>
        <sz val="10"/>
        <color theme="1"/>
        <rFont val="Times New Roman"/>
        <family val="1"/>
      </rPr>
      <t xml:space="preserve">
2. Torpaqların yaxşılaşdırma üsulları və avadanlıqları</t>
    </r>
  </si>
  <si>
    <t>Meşə meliorasiyası və qoruyucu meşəsalma</t>
  </si>
  <si>
    <t>Ümumi əkinçilik</t>
  </si>
  <si>
    <r>
      <rPr>
        <sz val="10"/>
        <color theme="1"/>
        <rFont val="Times New Roman"/>
        <family val="1"/>
      </rPr>
      <t xml:space="preserve">ATMF IX blok:
</t>
    </r>
    <r>
      <rPr>
        <b/>
        <sz val="10"/>
        <color theme="1"/>
        <rFont val="Times New Roman"/>
        <family val="1"/>
      </rPr>
      <t>1. Meşə materiallarının tədarükü</t>
    </r>
    <r>
      <rPr>
        <sz val="10"/>
        <color theme="1"/>
        <rFont val="Times New Roman"/>
        <family val="1"/>
      </rPr>
      <t xml:space="preserve">
2. Oduncaq xammalının kompleks istifadəsi
3. Meşələrin qeyri oduncaq istifadəsi</t>
    </r>
  </si>
  <si>
    <r>
      <rPr>
        <b/>
        <sz val="10"/>
        <color theme="1"/>
        <rFont val="Times New Roman"/>
        <family val="1"/>
      </rPr>
      <t xml:space="preserve">ATMF IX blok:
1. Meşə materiallarının tədarükü </t>
    </r>
    <r>
      <rPr>
        <sz val="10"/>
        <color theme="1"/>
        <rFont val="Times New Roman"/>
        <family val="1"/>
      </rPr>
      <t xml:space="preserve">
2. Oduncaq xammalının kompleks istifadəsi
3. Meşələrin qeyri oduncaq istifadəsi</t>
    </r>
  </si>
  <si>
    <r>
      <rPr>
        <b/>
        <sz val="10"/>
        <color theme="1"/>
        <rFont val="Times New Roman"/>
        <family val="1"/>
      </rPr>
      <t>ATMF X blok:
1. Meşəbərpa işləri +</t>
    </r>
    <r>
      <rPr>
        <sz val="10"/>
        <color theme="1"/>
        <rFont val="Times New Roman"/>
        <family val="1"/>
      </rPr>
      <t xml:space="preserve">
2. Meşələrin qırıntı texnologiyası
3. Meşəbərpada əkin texnologiyası</t>
    </r>
  </si>
  <si>
    <r>
      <rPr>
        <b/>
        <sz val="10"/>
        <color theme="1"/>
        <rFont val="Times New Roman"/>
        <family val="1"/>
      </rPr>
      <t>ATMF I blok:
1. Bitki ekologiyası</t>
    </r>
    <r>
      <rPr>
        <sz val="10"/>
        <color theme="1"/>
        <rFont val="Times New Roman"/>
        <family val="1"/>
      </rPr>
      <t xml:space="preserve">
2. Azərbaycan flora və faunası
3. Ekosistemlərin biomüxtəlifliyi</t>
    </r>
  </si>
  <si>
    <r>
      <rPr>
        <sz val="10"/>
        <color theme="1"/>
        <rFont val="Times New Roman"/>
        <family val="1"/>
      </rPr>
      <t xml:space="preserve">ATMF VIII blok:
</t>
    </r>
    <r>
      <rPr>
        <b/>
        <sz val="10"/>
        <color theme="1"/>
        <rFont val="Times New Roman"/>
        <family val="1"/>
      </rPr>
      <t>1. Meşə materiallarının tədarükü</t>
    </r>
    <r>
      <rPr>
        <sz val="10"/>
        <color theme="1"/>
        <rFont val="Times New Roman"/>
        <family val="1"/>
      </rPr>
      <t xml:space="preserve">
2. Oduncaq xammalının kompleks istifadəsi 
3. Meşələrin qeyri oduncaq istifadəsi</t>
    </r>
  </si>
  <si>
    <r>
      <rPr>
        <b/>
        <sz val="10"/>
        <color theme="1"/>
        <rFont val="Times New Roman"/>
        <family val="1"/>
      </rPr>
      <t>ATMF X blok:
1. Meşəbərpa işləri +</t>
    </r>
    <r>
      <rPr>
        <sz val="10"/>
        <color theme="1"/>
        <rFont val="Times New Roman"/>
        <family val="1"/>
      </rPr>
      <t xml:space="preserve">
2. Meşəbərpada qırım texnologiyası
3. Meşəbərpada əkin texnologiyası</t>
    </r>
  </si>
  <si>
    <r>
      <rPr>
        <sz val="10"/>
        <color theme="1"/>
        <rFont val="Times New Roman"/>
        <family val="1"/>
      </rPr>
      <t xml:space="preserve">ATMF XI blok:
1. Meşə resurslarının səmərəli istifadəsi
</t>
    </r>
    <r>
      <rPr>
        <b/>
        <sz val="10"/>
        <color theme="1"/>
        <rFont val="Times New Roman"/>
        <family val="1"/>
      </rPr>
      <t xml:space="preserve">2. Meşə-bağ təsərrüfatının yaradılması
</t>
    </r>
    <r>
      <rPr>
        <sz val="10"/>
        <color theme="1"/>
        <rFont val="Times New Roman"/>
        <family val="1"/>
      </rPr>
      <t>3. Oduncaq xammalının ilkin emalı</t>
    </r>
  </si>
  <si>
    <t>535 Bİ az
535 Bİ ing
535 MRK</t>
  </si>
  <si>
    <t>27
26
26</t>
  </si>
  <si>
    <t>Geodeziya-2</t>
  </si>
  <si>
    <t>Torpaqşünaslığın əsasları</t>
  </si>
  <si>
    <t xml:space="preserve">Ekosistemlərin monitorinq üsulları </t>
  </si>
  <si>
    <t>Seçmə fənn I blok
1.Bioekoloji modelləşdirmə
2.Bioekologiyada informasiya texnologiyaları CİS</t>
  </si>
  <si>
    <t>Seçmə fənn II blok
1.Meşə ekosistemləri
2.Dağlıq ərazilərin bioekologiyası</t>
  </si>
  <si>
    <t>510/6 E</t>
  </si>
  <si>
    <t>Ətraf mühitin monitorinqi, CİS proqramları</t>
  </si>
  <si>
    <t>Ətraf mühitə atılan tullantıların emalı</t>
  </si>
  <si>
    <t>I seçmə fənn bloku
1.Əkinçiliyin ekoloji problemləri
2.Ekoloji təmiz məhsulların istehsal problemləri</t>
  </si>
  <si>
    <t>Buraxılış yekun dövlət attestasiyası</t>
  </si>
  <si>
    <t>“Təbiət elmləri ” kafedrasına verilmiş tədris-pedaqoji</t>
  </si>
  <si>
    <t>136 TSPX</t>
  </si>
  <si>
    <t>Uşaq anatomiyası, fiziologiyası və gigiyenası</t>
  </si>
  <si>
    <t>Təh.sos.ps.x</t>
  </si>
  <si>
    <t>236 QM
236 SBİO</t>
  </si>
  <si>
    <t>Ümumi kimya</t>
  </si>
  <si>
    <t>Qida müh
Su bioeh.</t>
  </si>
  <si>
    <t>İxtisasa giriş</t>
  </si>
  <si>
    <t>236 BİO</t>
  </si>
  <si>
    <t>Sitologiya və histologiya</t>
  </si>
  <si>
    <t>Biologiya</t>
  </si>
  <si>
    <t>236 BİO ing</t>
  </si>
  <si>
    <t>236 SBİO</t>
  </si>
  <si>
    <t>Ümumi biologiya</t>
  </si>
  <si>
    <t>Su bioeh.</t>
  </si>
  <si>
    <t>İxtisasa giriş və ixtisasın inkişaf tarixi</t>
  </si>
  <si>
    <t>Analitik kimya və instrumental analiz</t>
  </si>
  <si>
    <t>Ali bitkilərin sistematikası</t>
  </si>
  <si>
    <t xml:space="preserve">Ali bitkilər </t>
  </si>
  <si>
    <t>Onurğasız heyvanlar</t>
  </si>
  <si>
    <r>
      <rPr>
        <sz val="10"/>
        <color theme="1"/>
        <rFont val="Times New Roman"/>
        <family val="1"/>
      </rPr>
      <t xml:space="preserve">ATMF II blok
1.Geobotanika
</t>
    </r>
    <r>
      <rPr>
        <b/>
        <sz val="10"/>
        <color theme="1"/>
        <rFont val="Times New Roman"/>
        <family val="1"/>
      </rPr>
      <t>2.Hidrobiologiya</t>
    </r>
    <r>
      <rPr>
        <sz val="10"/>
        <color theme="1"/>
        <rFont val="Times New Roman"/>
        <family val="1"/>
      </rPr>
      <t xml:space="preserve">
3.Hidrokimya</t>
    </r>
  </si>
  <si>
    <r>
      <rPr>
        <sz val="10"/>
        <color theme="1"/>
        <rFont val="Times New Roman"/>
        <family val="1"/>
      </rPr>
      <t xml:space="preserve">ATMF III blok
</t>
    </r>
    <r>
      <rPr>
        <b/>
        <sz val="10"/>
        <color theme="1"/>
        <rFont val="Times New Roman"/>
        <family val="1"/>
      </rPr>
      <t xml:space="preserve">1.Azərbaycan dərman bitkiləri
</t>
    </r>
    <r>
      <rPr>
        <sz val="10"/>
        <color theme="1"/>
        <rFont val="Times New Roman"/>
        <family val="1"/>
      </rPr>
      <t>2.Azərbaycan florası
3.Sənaye əhəmiyyətli bitkilər</t>
    </r>
  </si>
  <si>
    <t>234 BİO az</t>
  </si>
  <si>
    <t>Fərdi inkişaf və təkamül</t>
  </si>
  <si>
    <t>234 BİO az
234 SBİO az</t>
  </si>
  <si>
    <t>Mikrobiologiya</t>
  </si>
  <si>
    <t>Biologiya
Su bioeh.</t>
  </si>
  <si>
    <t>28
17</t>
  </si>
  <si>
    <t>Bitki fiziologiyası</t>
  </si>
  <si>
    <t>Enzimologiya</t>
  </si>
  <si>
    <r>
      <rPr>
        <sz val="10"/>
        <color theme="1"/>
        <rFont val="Times New Roman"/>
        <family val="1"/>
      </rPr>
      <t xml:space="preserve">ATMF IV blok
1.Hormonların biokimyası
2.Funksional biokimya
</t>
    </r>
    <r>
      <rPr>
        <b/>
        <sz val="10"/>
        <color theme="1"/>
        <rFont val="Times New Roman"/>
        <family val="1"/>
      </rPr>
      <t>3.Endokrinologiya</t>
    </r>
  </si>
  <si>
    <r>
      <rPr>
        <sz val="10"/>
        <color theme="1"/>
        <rFont val="Times New Roman"/>
        <family val="1"/>
      </rPr>
      <t xml:space="preserve">ATMF V blok
1.Neyrobiologiya
</t>
    </r>
    <r>
      <rPr>
        <b/>
        <sz val="10"/>
        <color theme="1"/>
        <rFont val="Times New Roman"/>
        <family val="1"/>
      </rPr>
      <t>2.Ali sinir fiziologiyası</t>
    </r>
    <r>
      <rPr>
        <sz val="10"/>
        <color theme="1"/>
        <rFont val="Times New Roman"/>
        <family val="1"/>
      </rPr>
      <t xml:space="preserve">
3.Patofiziologiya</t>
    </r>
  </si>
  <si>
    <t>234 BİO ing</t>
  </si>
  <si>
    <t>234 BİO ing
234 SBİO ing</t>
  </si>
  <si>
    <t>23
16</t>
  </si>
  <si>
    <r>
      <rPr>
        <sz val="10"/>
        <color theme="1"/>
        <rFont val="Times New Roman"/>
        <family val="1"/>
      </rPr>
      <t xml:space="preserve">ATMF V blok
</t>
    </r>
    <r>
      <rPr>
        <b/>
        <sz val="10"/>
        <color theme="1"/>
        <rFont val="Times New Roman"/>
        <family val="1"/>
      </rPr>
      <t>1.Neyrobiologiya</t>
    </r>
    <r>
      <rPr>
        <sz val="10"/>
        <color theme="1"/>
        <rFont val="Times New Roman"/>
        <family val="1"/>
      </rPr>
      <t xml:space="preserve">
2.Ali sinir fiziologiyası
3.Patofiziologiya</t>
    </r>
  </si>
  <si>
    <t>Su bitkilərinin akvakulturası</t>
  </si>
  <si>
    <t>Akvakulturada monitorinq və tədqiqat metodikası</t>
  </si>
  <si>
    <r>
      <rPr>
        <sz val="10"/>
        <color theme="1"/>
        <rFont val="Times New Roman"/>
        <family val="1"/>
      </rPr>
      <t xml:space="preserve">ATMF V blok
</t>
    </r>
    <r>
      <rPr>
        <b/>
        <sz val="10"/>
        <color theme="1"/>
        <rFont val="Times New Roman"/>
        <family val="1"/>
      </rPr>
      <t>1.Balıq anatomiyası və fiziologiyası</t>
    </r>
    <r>
      <rPr>
        <sz val="10"/>
        <color theme="1"/>
        <rFont val="Times New Roman"/>
        <family val="1"/>
      </rPr>
      <t xml:space="preserve">
2.Balıq embrionologiyası
3.Balıq taksonomiyası və ekologiyası</t>
    </r>
  </si>
  <si>
    <r>
      <rPr>
        <sz val="10"/>
        <color theme="1"/>
        <rFont val="Times New Roman"/>
        <family val="1"/>
      </rPr>
      <t xml:space="preserve">ATMF VI blok
1.Balıq histologiyası
2.Balıq sitologiyası
</t>
    </r>
    <r>
      <rPr>
        <b/>
        <sz val="10"/>
        <color theme="1"/>
        <rFont val="Times New Roman"/>
        <family val="1"/>
      </rPr>
      <t>3.Balıq embrionologiyası</t>
    </r>
  </si>
  <si>
    <r>
      <rPr>
        <sz val="10"/>
        <color theme="1"/>
        <rFont val="Times New Roman"/>
        <family val="1"/>
      </rPr>
      <t xml:space="preserve">ATMF V blok
1.Balıq anatomiyası və fiziologiyas
2.Balıq embrionologiyası
</t>
    </r>
    <r>
      <rPr>
        <b/>
        <sz val="10"/>
        <color theme="1"/>
        <rFont val="Times New Roman"/>
        <family val="1"/>
      </rPr>
      <t>3.Balıq taksonomiyası və ekologiyası</t>
    </r>
  </si>
  <si>
    <r>
      <rPr>
        <sz val="10"/>
        <color theme="1"/>
        <rFont val="Times New Roman"/>
        <family val="1"/>
      </rPr>
      <t xml:space="preserve">ATMF VI blok
1.Balıq histologiyası
</t>
    </r>
    <r>
      <rPr>
        <b/>
        <sz val="10"/>
        <color theme="1"/>
        <rFont val="Times New Roman"/>
        <family val="1"/>
      </rPr>
      <t>2.Balıq sitologiyası</t>
    </r>
    <r>
      <rPr>
        <sz val="10"/>
        <color theme="1"/>
        <rFont val="Times New Roman"/>
        <family val="1"/>
      </rPr>
      <t xml:space="preserve">
3.Balıq embrionologiyası</t>
    </r>
  </si>
  <si>
    <t>233 BİO az</t>
  </si>
  <si>
    <t>Biotexnologiya</t>
  </si>
  <si>
    <r>
      <rPr>
        <sz val="10"/>
        <color theme="1"/>
        <rFont val="Times New Roman"/>
        <family val="1"/>
      </rPr>
      <t xml:space="preserve">ATMF IX blok
1.Fotosintez
</t>
    </r>
    <r>
      <rPr>
        <b/>
        <sz val="10"/>
        <color theme="1"/>
        <rFont val="Times New Roman"/>
        <family val="1"/>
      </rPr>
      <t>2.Virusologiya</t>
    </r>
    <r>
      <rPr>
        <sz val="10"/>
        <color theme="1"/>
        <rFont val="Times New Roman"/>
        <family val="1"/>
      </rPr>
      <t xml:space="preserve">
3.Parazitologiya</t>
    </r>
  </si>
  <si>
    <r>
      <rPr>
        <sz val="10"/>
        <color theme="1"/>
        <rFont val="Times New Roman"/>
        <family val="1"/>
      </rPr>
      <t xml:space="preserve">ATMF X blok
1.Membranologiya
2.Nanobiotexnologiya
</t>
    </r>
    <r>
      <rPr>
        <b/>
        <sz val="10"/>
        <color theme="1"/>
        <rFont val="Times New Roman"/>
        <family val="1"/>
      </rPr>
      <t>3.Gen mühəndisliyi</t>
    </r>
  </si>
  <si>
    <r>
      <rPr>
        <sz val="10"/>
        <color theme="1"/>
        <rFont val="Times New Roman"/>
        <family val="1"/>
      </rPr>
      <t xml:space="preserve">ATMF XI blok
1.Gerantologiya
2.Genomika və epigenetika
</t>
    </r>
    <r>
      <rPr>
        <b/>
        <sz val="10"/>
        <color theme="1"/>
        <rFont val="Times New Roman"/>
        <family val="1"/>
      </rPr>
      <t>3.İnsan genetikası</t>
    </r>
  </si>
  <si>
    <r>
      <rPr>
        <sz val="10"/>
        <color theme="1"/>
        <rFont val="Times New Roman"/>
        <family val="1"/>
      </rPr>
      <t xml:space="preserve">ATMF XII blok
1.Protemika
</t>
    </r>
    <r>
      <rPr>
        <b/>
        <sz val="10"/>
        <color theme="1"/>
        <rFont val="Times New Roman"/>
        <family val="1"/>
      </rPr>
      <t>2.Hüceyrə biologiyası</t>
    </r>
    <r>
      <rPr>
        <sz val="10"/>
        <color theme="1"/>
        <rFont val="Times New Roman"/>
        <family val="1"/>
      </rPr>
      <t xml:space="preserve">
3.Sistem biologiyası</t>
    </r>
  </si>
  <si>
    <t>233 BİO ing</t>
  </si>
  <si>
    <r>
      <rPr>
        <sz val="10"/>
        <color theme="1"/>
        <rFont val="Times New Roman"/>
        <family val="1"/>
      </rPr>
      <t xml:space="preserve">ATMF XII blok
1.Protemika
2.Hüceyrə biologiyası
</t>
    </r>
    <r>
      <rPr>
        <b/>
        <sz val="10"/>
        <color theme="1"/>
        <rFont val="Times New Roman"/>
        <family val="1"/>
      </rPr>
      <t>3.Sistem biologiyası</t>
    </r>
  </si>
  <si>
    <t>Balıqların akvakulturası</t>
  </si>
  <si>
    <t>Balıqların yemləndirilməsi</t>
  </si>
  <si>
    <t>Üzvi kimya</t>
  </si>
  <si>
    <r>
      <rPr>
        <sz val="10"/>
        <color theme="1"/>
        <rFont val="Times New Roman"/>
        <family val="1"/>
      </rPr>
      <t xml:space="preserve">ATMF I blok
1.Biologiya
</t>
    </r>
    <r>
      <rPr>
        <b/>
        <sz val="10"/>
        <color theme="1"/>
        <rFont val="Times New Roman"/>
        <family val="1"/>
      </rPr>
      <t>2.Qida toksikologiyası</t>
    </r>
    <r>
      <rPr>
        <sz val="10"/>
        <color theme="1"/>
        <rFont val="Times New Roman"/>
        <family val="1"/>
      </rPr>
      <t xml:space="preserve">
3.Qida müəssisələrində HACCP standartları</t>
    </r>
  </si>
  <si>
    <t xml:space="preserve">709/5SBİO
505/5MB
505/5G
</t>
  </si>
  <si>
    <t xml:space="preserve">Azərbaycan balıqçılıq təsərrüfatı
</t>
  </si>
  <si>
    <t>magistr su bio eht.
Magistr bio-molekulyar 
Magistr genetika</t>
  </si>
  <si>
    <t>709/5SBİO</t>
  </si>
  <si>
    <t>Balıqların yemləndirilməsinin müasir metodları</t>
  </si>
  <si>
    <t>magistr su bio eht.</t>
  </si>
  <si>
    <t>Akvakuturada biotexnologiya və gen mühəndisliyi</t>
  </si>
  <si>
    <t>III seçmə fənn
1.Xərçəngkimilərin yetişdirilməsi
2.Akvarium balıq yetişdirilməsi
3.Su bitkilərinin yetişdirilməsi</t>
  </si>
  <si>
    <t>505/5MB</t>
  </si>
  <si>
    <t>Gen və zülal mühəndisliyi</t>
  </si>
  <si>
    <t xml:space="preserve">Magistr bio-molekulyar </t>
  </si>
  <si>
    <t>505/5MB
505/5G</t>
  </si>
  <si>
    <t>OMİCS texnologiyası</t>
  </si>
  <si>
    <t>Magistr bio-molekulyar genetika
Magistr genetika</t>
  </si>
  <si>
    <r>
      <rPr>
        <sz val="10"/>
        <color theme="1"/>
        <rFont val="Times New Roman"/>
        <family val="1"/>
      </rPr>
      <t xml:space="preserve">SF II blok
</t>
    </r>
    <r>
      <rPr>
        <b/>
        <sz val="10"/>
        <color theme="1"/>
        <rFont val="Times New Roman"/>
        <family val="1"/>
      </rPr>
      <t>1.Genetik məlumatın ekspressiyasının tənzimlənmə mexanizmləri</t>
    </r>
    <r>
      <rPr>
        <sz val="10"/>
        <color theme="1"/>
        <rFont val="Times New Roman"/>
        <family val="1"/>
      </rPr>
      <t xml:space="preserve">
2.Biokimya və fermentologiya</t>
    </r>
  </si>
  <si>
    <r>
      <rPr>
        <sz val="10"/>
        <color theme="1"/>
        <rFont val="Times New Roman"/>
        <family val="1"/>
      </rPr>
      <t xml:space="preserve">SF III blok
</t>
    </r>
    <r>
      <rPr>
        <b/>
        <sz val="10"/>
        <color theme="1"/>
        <rFont val="Times New Roman"/>
        <family val="1"/>
      </rPr>
      <t xml:space="preserve">1.Bioloji makro molekulların </t>
    </r>
    <r>
      <rPr>
        <sz val="10"/>
        <color theme="1"/>
        <rFont val="Times New Roman"/>
        <family val="1"/>
      </rPr>
      <t>daşınmasının molekulyar mexanizmləri
2.Bioloji siqnalların ötürülməsinin molekulyar mexanizmləri</t>
    </r>
  </si>
  <si>
    <t xml:space="preserve">709/6 SBİO
505/6 G
505/6 MB
</t>
  </si>
  <si>
    <t xml:space="preserve">
Magistr 
Su bioehtiyyatları
Genetika
Mol.biologiya
</t>
  </si>
  <si>
    <t>10
10
10</t>
  </si>
  <si>
    <t>709/6 SBİO</t>
  </si>
  <si>
    <t>Biologiyanın müasir problemləri və perspektivləri</t>
  </si>
  <si>
    <t xml:space="preserve">
Magistr 
Su bioehtiyyatları</t>
  </si>
  <si>
    <t xml:space="preserve">709/6 SBİO
505/6 G
505/6 MB </t>
  </si>
  <si>
    <t xml:space="preserve">Bioetika
</t>
  </si>
  <si>
    <t>I seçmə fənn bloku 
1.Qapalı su təchizatı sistemlərində hidrobiontların yetişdirilməsi
2.Qəfəsə balıq yetişdiriciliyi</t>
  </si>
  <si>
    <t>505/6 G
505/6 MB</t>
  </si>
  <si>
    <t>Biologiyanın müasir problemləri</t>
  </si>
  <si>
    <t>Magistr 
genetika
molekulyar biologiya</t>
  </si>
  <si>
    <t>10
10</t>
  </si>
  <si>
    <t xml:space="preserve">505/6 G </t>
  </si>
  <si>
    <t>I seçmə fənn bloku
1.Epigenetika
2.Farmakogenetika</t>
  </si>
  <si>
    <t>Magistr 
genetika</t>
  </si>
  <si>
    <t>505/6 G</t>
  </si>
  <si>
    <t>Molekulyar enzimologiya</t>
  </si>
  <si>
    <t>magistr
Molekuyar biologiya</t>
  </si>
  <si>
    <t>505/5G</t>
  </si>
  <si>
    <t>Sitogenetika</t>
  </si>
  <si>
    <t>Magistr genetika</t>
  </si>
  <si>
    <t>İmmunogenetika</t>
  </si>
  <si>
    <t>SF III blok
1.İnsan genetikası
2.Mikroorqanizmlərin genetikası
3.Heyvan genetikası</t>
  </si>
  <si>
    <t>Seçmə fənn
1.Botanika
2.Yaşıl biotexnologiya</t>
  </si>
  <si>
    <t>biotex.</t>
  </si>
  <si>
    <t>Seçmə fənn 
1.Zoologiya
2.Molekulyar zoologiya</t>
  </si>
  <si>
    <t>233 BİO  az</t>
  </si>
  <si>
    <t>Bioinformatika</t>
  </si>
  <si>
    <t>233 BİO ing
233 SBİO ing</t>
  </si>
  <si>
    <t>21
16</t>
  </si>
  <si>
    <t>5
6</t>
  </si>
  <si>
    <t>Zoologiya</t>
  </si>
  <si>
    <r>
      <rPr>
        <sz val="10"/>
        <color theme="1"/>
        <rFont val="Times New Roman"/>
        <family val="1"/>
      </rPr>
      <t xml:space="preserve">ATMF II blok
</t>
    </r>
    <r>
      <rPr>
        <b/>
        <sz val="10"/>
        <color theme="1"/>
        <rFont val="Times New Roman"/>
        <family val="1"/>
      </rPr>
      <t>1.Su toksikologiyası</t>
    </r>
    <r>
      <rPr>
        <sz val="10"/>
        <color theme="1"/>
        <rFont val="Times New Roman"/>
        <family val="1"/>
      </rPr>
      <t xml:space="preserve">
2.Hidrokimya
3.Hidromorfologiya</t>
    </r>
  </si>
  <si>
    <t>Neyrobiologiya</t>
  </si>
  <si>
    <t>Kimya</t>
  </si>
  <si>
    <t>Analitik kimya</t>
  </si>
  <si>
    <t>İbtidai bitkilər və göbələklər</t>
  </si>
  <si>
    <t>Bitkilərin morfologiyası və anatomiyası</t>
  </si>
  <si>
    <t>İnsan anatomiyası və fiziologiyası</t>
  </si>
  <si>
    <t xml:space="preserve">236 M
</t>
  </si>
  <si>
    <t>Botanika</t>
  </si>
  <si>
    <t>Su bitkilərinin fiziologiyası</t>
  </si>
  <si>
    <t>235 CM</t>
  </si>
  <si>
    <t>Onurğalı heyvanlar</t>
  </si>
  <si>
    <t>Biokimya</t>
  </si>
  <si>
    <t>Genetika</t>
  </si>
  <si>
    <t>Biomüxtəliflik</t>
  </si>
  <si>
    <t>İmmunologiya</t>
  </si>
  <si>
    <t>Molekulyar biologiya</t>
  </si>
  <si>
    <r>
      <rPr>
        <sz val="10"/>
        <color theme="1"/>
        <rFont val="Times New Roman"/>
        <family val="1"/>
      </rPr>
      <t xml:space="preserve">ATMF VI blok
1.Tətbiqi genetika
2.Ekoloji genetika
</t>
    </r>
    <r>
      <rPr>
        <b/>
        <sz val="10"/>
        <color theme="1"/>
        <rFont val="Times New Roman"/>
        <family val="1"/>
      </rPr>
      <t>3.Tibbi biologiya</t>
    </r>
  </si>
  <si>
    <r>
      <rPr>
        <sz val="10"/>
        <color theme="1"/>
        <rFont val="Times New Roman"/>
        <family val="1"/>
      </rPr>
      <t>ATMF VII blok
1.Qida məhsullarının mikrobiologiyası
2..Sənaye mikrobiologiyası
3.</t>
    </r>
    <r>
      <rPr>
        <b/>
        <sz val="10"/>
        <color theme="1"/>
        <rFont val="Times New Roman"/>
        <family val="1"/>
      </rPr>
      <t xml:space="preserve"> Qida məhsullarının təhlükəsizliyi</t>
    </r>
  </si>
  <si>
    <r>
      <rPr>
        <sz val="10"/>
        <color theme="1"/>
        <rFont val="Times New Roman"/>
        <family val="1"/>
      </rPr>
      <t xml:space="preserve">ATMF VIII blok
</t>
    </r>
    <r>
      <rPr>
        <b/>
        <sz val="10"/>
        <color theme="1"/>
        <rFont val="Times New Roman"/>
        <family val="1"/>
      </rPr>
      <t>1.Dəniz florası</t>
    </r>
    <r>
      <rPr>
        <sz val="10"/>
        <color theme="1"/>
        <rFont val="Times New Roman"/>
        <family val="1"/>
      </rPr>
      <t xml:space="preserve">
2.İxtiologiya
3.Okeanologiya</t>
    </r>
  </si>
  <si>
    <t>Balıqçılıq</t>
  </si>
  <si>
    <t>Su onurğasızlarının akvakulturası</t>
  </si>
  <si>
    <r>
      <rPr>
        <sz val="10"/>
        <color theme="1"/>
        <rFont val="Times New Roman"/>
        <family val="1"/>
      </rPr>
      <t xml:space="preserve">ATMF VII blok
1.Süni balıq yetişdirmə
2.Balıqların genetikası və seleksiyası
</t>
    </r>
    <r>
      <rPr>
        <b/>
        <sz val="10"/>
        <color theme="1"/>
        <rFont val="Times New Roman"/>
        <family val="1"/>
      </rPr>
      <t>3.Balıqların xəstəlikləri</t>
    </r>
  </si>
  <si>
    <r>
      <rPr>
        <sz val="10"/>
        <color theme="1"/>
        <rFont val="Times New Roman"/>
        <family val="1"/>
      </rPr>
      <t xml:space="preserve">ATMF  VIII blok
1.Dəniz florası
2.Plankton və onun yetişdirmə texnologiyası
</t>
    </r>
    <r>
      <rPr>
        <b/>
        <sz val="10"/>
        <color theme="1"/>
        <rFont val="Times New Roman"/>
        <family val="1"/>
      </rPr>
      <t>3.Okeanologiya</t>
    </r>
  </si>
  <si>
    <r>
      <rPr>
        <sz val="10"/>
        <color theme="1"/>
        <rFont val="Times New Roman"/>
        <family val="1"/>
      </rPr>
      <t xml:space="preserve">ATMF VIII blok
</t>
    </r>
    <r>
      <rPr>
        <b/>
        <sz val="10"/>
        <color theme="1"/>
        <rFont val="Times New Roman"/>
        <family val="1"/>
      </rPr>
      <t>1.Hidrologiya</t>
    </r>
    <r>
      <rPr>
        <sz val="10"/>
        <color theme="1"/>
        <rFont val="Times New Roman"/>
        <family val="1"/>
      </rPr>
      <t xml:space="preserve">
2.Dekorativ su bitkiləri
3.Bataqlıq su bitkiləri</t>
    </r>
  </si>
  <si>
    <r>
      <rPr>
        <sz val="10"/>
        <color theme="1"/>
        <rFont val="Times New Roman"/>
        <family val="1"/>
      </rPr>
      <t xml:space="preserve">ATMF X blok
1.Balıqçılıq, ov alətləri və balıqtutma üsulları
2.İdman balıqçılığı və balıq turizmi 
</t>
    </r>
    <r>
      <rPr>
        <b/>
        <sz val="10"/>
        <color theme="1"/>
        <rFont val="Times New Roman"/>
        <family val="1"/>
      </rPr>
      <t>3.Dekorativ balıqçılıq</t>
    </r>
  </si>
  <si>
    <r>
      <rPr>
        <sz val="10"/>
        <color theme="1"/>
        <rFont val="Times New Roman"/>
        <family val="1"/>
      </rPr>
      <t xml:space="preserve">ATMF  VIII blok
</t>
    </r>
    <r>
      <rPr>
        <b/>
        <sz val="10"/>
        <color theme="1"/>
        <rFont val="Times New Roman"/>
        <family val="1"/>
      </rPr>
      <t>1.Dəniz florası</t>
    </r>
    <r>
      <rPr>
        <sz val="10"/>
        <color theme="1"/>
        <rFont val="Times New Roman"/>
        <family val="1"/>
      </rPr>
      <t xml:space="preserve">
2.Plankton və onun yetişdirmə texnologiyası
3.Okeanologiya</t>
    </r>
  </si>
  <si>
    <r>
      <rPr>
        <sz val="10"/>
        <color theme="1"/>
        <rFont val="Times New Roman"/>
        <family val="1"/>
      </rPr>
      <t xml:space="preserve">ATMF VIII blok
1.Hidrologiya
</t>
    </r>
    <r>
      <rPr>
        <b/>
        <sz val="10"/>
        <color theme="1"/>
        <rFont val="Times New Roman"/>
        <family val="1"/>
      </rPr>
      <t>2.Dekorativ su bitkiləri</t>
    </r>
    <r>
      <rPr>
        <sz val="10"/>
        <color theme="1"/>
        <rFont val="Times New Roman"/>
        <family val="1"/>
      </rPr>
      <t xml:space="preserve">
3.Bataqlıq su bitkiləri</t>
    </r>
  </si>
  <si>
    <t>Qida kimyası</t>
  </si>
  <si>
    <t>Qida məhsullarının biokimyası</t>
  </si>
  <si>
    <t>Qida məhsullarının keyfiyyətinə texniki-kimyəvi nəzarət</t>
  </si>
  <si>
    <t>Qida məhsullarının soyudulma texnologiyası</t>
  </si>
  <si>
    <r>
      <rPr>
        <sz val="10"/>
        <color theme="1"/>
        <rFont val="Times New Roman"/>
        <family val="1"/>
      </rPr>
      <t xml:space="preserve">ATMF II blok
</t>
    </r>
    <r>
      <rPr>
        <b/>
        <sz val="10"/>
        <color theme="1"/>
        <rFont val="Times New Roman"/>
        <family val="1"/>
      </rPr>
      <t>1.Hazır qida istehsalı texnologiyaları</t>
    </r>
    <r>
      <rPr>
        <sz val="10"/>
        <color theme="1"/>
        <rFont val="Times New Roman"/>
        <family val="1"/>
      </rPr>
      <t xml:space="preserve">
2.Tibbi və funksional qidalar kimyası
3.Fiziki-kimya</t>
    </r>
  </si>
  <si>
    <t>ATMF: Su bioehtiyyatlarının qorunması və idarəedilməsi</t>
  </si>
  <si>
    <t>Hidrobiontların ekologiyası</t>
  </si>
  <si>
    <t>Balıqların xəstəlikləri və diaqnostikası</t>
  </si>
  <si>
    <t>II seçmə fənn bloku
1.Hidrobiontların histologiyası və fiziologiyası
2.Balıq  immunologiyası</t>
  </si>
  <si>
    <t>505/6 MB</t>
  </si>
  <si>
    <t>ATMF Struktur biologiyanın üsulları</t>
  </si>
  <si>
    <t>Magistr 
molekulyar biologiya</t>
  </si>
  <si>
    <t>505/6 MB
505/6 G</t>
  </si>
  <si>
    <t>Magistr 
molekulyar biologiya
genetika</t>
  </si>
  <si>
    <t>Molekulyar təkamül</t>
  </si>
  <si>
    <t>I  seçmə fənn bloku
1.Molekulyar fitopatologiya
2.Molekulyar immunologi</t>
  </si>
  <si>
    <t>ATMF Biotexnologiya və gen mühəndisliyi</t>
  </si>
  <si>
    <t>genetika</t>
  </si>
  <si>
    <t xml:space="preserve">Molekulyar genetika </t>
  </si>
  <si>
    <t>II seçmə fənn bloku
1.Populyasiya genetikası
2.Bitki genetikası</t>
  </si>
  <si>
    <t>Planktologiya</t>
  </si>
  <si>
    <r>
      <rPr>
        <sz val="10"/>
        <color theme="1"/>
        <rFont val="Times New Roman"/>
        <family val="1"/>
      </rPr>
      <t xml:space="preserve">ATMF III blok
1.Bioresursların hesablama metodları
</t>
    </r>
    <r>
      <rPr>
        <b/>
        <sz val="10"/>
        <color theme="1"/>
        <rFont val="Times New Roman"/>
        <family val="1"/>
      </rPr>
      <t>2.Su hövzələrinə dəyən ziyanın hesablanma metodları</t>
    </r>
    <r>
      <rPr>
        <sz val="10"/>
        <color theme="1"/>
        <rFont val="Times New Roman"/>
        <family val="1"/>
      </rPr>
      <t xml:space="preserve">
3.Təbiətdən səmərəli istifadə</t>
    </r>
  </si>
  <si>
    <r>
      <rPr>
        <sz val="10"/>
        <color theme="1"/>
        <rFont val="Times New Roman"/>
        <family val="1"/>
      </rPr>
      <t xml:space="preserve">ATMF IV blok
1.Azərbaycanın su hövzələri
</t>
    </r>
    <r>
      <rPr>
        <b/>
        <sz val="10"/>
        <color theme="1"/>
        <rFont val="Times New Roman"/>
        <family val="1"/>
      </rPr>
      <t>2.Su çirklənməsi və ona nəzarət</t>
    </r>
    <r>
      <rPr>
        <sz val="10"/>
        <color theme="1"/>
        <rFont val="Times New Roman"/>
        <family val="1"/>
      </rPr>
      <t xml:space="preserve">
3.Sanitar hidrobiologiya</t>
    </r>
  </si>
  <si>
    <t>Seçmə fənn
1.Mikrobiologiya və virusologiya
2.Sənaye mikrobiologiyas</t>
  </si>
  <si>
    <t>Seşmə fənn 
1.Tədqiqat metodları
2.Ekspermentaı dizayn</t>
  </si>
  <si>
    <t>təcrübə</t>
  </si>
  <si>
    <t>25
15</t>
  </si>
  <si>
    <t>505/5MB
505 GE</t>
  </si>
  <si>
    <t>Magistr bio-molekulyar 
Magistr genetika</t>
  </si>
  <si>
    <t>Təcrübə (elmi tədqiqat)</t>
  </si>
  <si>
    <t>Təcrübə (istehsalat)</t>
  </si>
  <si>
    <t xml:space="preserve">Dissertasiya </t>
  </si>
  <si>
    <t>“Mexanika və riyaziyyat” kafedrasına verilmiş tədris-pedaqoji</t>
  </si>
  <si>
    <t>Xətti cəbr və riyazi analiz</t>
  </si>
  <si>
    <t>iqtisadiyyat
Maliyyə
Mühasibat</t>
  </si>
  <si>
    <t>marketinq
Menecment</t>
  </si>
  <si>
    <t>236 K
236 İT</t>
  </si>
  <si>
    <t>Xətti cəbr və analitik həndəsə</t>
  </si>
  <si>
    <t>Komp.müh
İnform.tex</t>
  </si>
  <si>
    <t>236 K ing
236 İT ing</t>
  </si>
  <si>
    <t xml:space="preserve">236 K
236 BİO
</t>
  </si>
  <si>
    <t>Fizika</t>
  </si>
  <si>
    <t>Komp.müh
Biologiya</t>
  </si>
  <si>
    <t>236 K ing
236 BİO ing</t>
  </si>
  <si>
    <t>236 KE</t>
  </si>
  <si>
    <t>Analitik həndəsə</t>
  </si>
  <si>
    <t>Komp.elm</t>
  </si>
  <si>
    <t>236 KE ing</t>
  </si>
  <si>
    <t>Xətti cəbr</t>
  </si>
  <si>
    <t>236 İT
236 MRM</t>
  </si>
  <si>
    <t>İnform.tex
Mexat.və rob</t>
  </si>
  <si>
    <t>236 İT ing
236 MRM ing</t>
  </si>
  <si>
    <t>236 İ</t>
  </si>
  <si>
    <t>Riyazi analiz</t>
  </si>
  <si>
    <t>236 İ ing</t>
  </si>
  <si>
    <t>236 CM
236 QM</t>
  </si>
  <si>
    <t>Cihaz müh.
Qida müh</t>
  </si>
  <si>
    <t>20
30</t>
  </si>
  <si>
    <t>236 CM</t>
  </si>
  <si>
    <t>Cihaz texnologiyalarının əsasları</t>
  </si>
  <si>
    <t>Ali riyaziyyat</t>
  </si>
  <si>
    <t>236 EM
236 YDK</t>
  </si>
  <si>
    <t>Riyaziyyat - 1</t>
  </si>
  <si>
    <t>Fizikanın əsasları</t>
  </si>
  <si>
    <t>Bioloji elmlər üçün riyaziyyat və biostatistika</t>
  </si>
  <si>
    <t>Biotexnolog.</t>
  </si>
  <si>
    <t>235 KE</t>
  </si>
  <si>
    <t>Ehtimal nəzəriyyəsi və riyazi statistika</t>
  </si>
  <si>
    <t>235 KE ing</t>
  </si>
  <si>
    <t>Riyazi analiz - 2</t>
  </si>
  <si>
    <t>235 İ</t>
  </si>
  <si>
    <t>Diskret riyaziyyat (Discrete Mathematics)</t>
  </si>
  <si>
    <t>235 İ ing</t>
  </si>
  <si>
    <t xml:space="preserve">235 CM
235 QM
235 MRM
</t>
  </si>
  <si>
    <t>Tətbiqi riyaziyyat</t>
  </si>
  <si>
    <t xml:space="preserve">Cihaz müh.
Mexat.və rob
Qida müh
</t>
  </si>
  <si>
    <t>17
25
13</t>
  </si>
  <si>
    <t>Cihazların avtomatlaşdırılmış layihələndirmə sistemləri</t>
  </si>
  <si>
    <t>İnformasiyanın alınmasının fiziki əsasları, müasir sensorlar və çeviricilər</t>
  </si>
  <si>
    <r>
      <rPr>
        <sz val="10"/>
        <color theme="1"/>
        <rFont val="Times New Roman"/>
        <family val="1"/>
      </rPr>
      <t xml:space="preserve">ATMF II blok:
</t>
    </r>
    <r>
      <rPr>
        <b/>
        <sz val="10"/>
        <color theme="1"/>
        <rFont val="Times New Roman"/>
        <family val="1"/>
      </rPr>
      <t>1.Elektromaqnetizm</t>
    </r>
    <r>
      <rPr>
        <sz val="10"/>
        <color theme="1"/>
        <rFont val="Times New Roman"/>
        <family val="1"/>
      </rPr>
      <t xml:space="preserve">
2.Mexatronika sistemləri</t>
    </r>
  </si>
  <si>
    <t>235 MRM</t>
  </si>
  <si>
    <t xml:space="preserve">Maşın və mexanizmlər nəzəriyyəsi   </t>
  </si>
  <si>
    <t>Mexatronika və robototexnikanın əsasları</t>
  </si>
  <si>
    <r>
      <rPr>
        <sz val="10"/>
        <color theme="1"/>
        <rFont val="Times New Roman"/>
        <family val="1"/>
      </rPr>
      <t xml:space="preserve">ATMF II blok:
1.Tərsimi həndəsə və mühəndis qrafikası
</t>
    </r>
    <r>
      <rPr>
        <b/>
        <sz val="10"/>
        <color theme="1"/>
        <rFont val="Times New Roman"/>
        <family val="1"/>
      </rPr>
      <t>2.Mühəndis qrafikası və dizayn</t>
    </r>
  </si>
  <si>
    <r>
      <rPr>
        <sz val="10"/>
        <color theme="1"/>
        <rFont val="Times New Roman"/>
        <family val="1"/>
      </rPr>
      <t>ATMF III blok:
1.</t>
    </r>
    <r>
      <rPr>
        <b/>
        <sz val="10"/>
        <color theme="1"/>
        <rFont val="Times New Roman"/>
        <family val="1"/>
      </rPr>
      <t>Elektrotexnika</t>
    </r>
    <r>
      <rPr>
        <sz val="10"/>
        <color theme="1"/>
        <rFont val="Times New Roman"/>
        <family val="1"/>
      </rPr>
      <t xml:space="preserve">. </t>
    </r>
  </si>
  <si>
    <t>234 K ing</t>
  </si>
  <si>
    <r>
      <rPr>
        <sz val="10"/>
        <color theme="1"/>
        <rFont val="Times New Roman"/>
        <family val="1"/>
      </rPr>
      <t xml:space="preserve">ATMF III blok:
</t>
    </r>
    <r>
      <rPr>
        <b/>
        <sz val="10"/>
        <color theme="1"/>
        <rFont val="Times New Roman"/>
        <family val="1"/>
      </rPr>
      <t>1. Mühəndislik riyaziyyatı</t>
    </r>
    <r>
      <rPr>
        <sz val="10"/>
        <color theme="1"/>
        <rFont val="Times New Roman"/>
        <family val="1"/>
      </rPr>
      <t xml:space="preserve">
2. Sistem analizi</t>
    </r>
  </si>
  <si>
    <t>234 KE</t>
  </si>
  <si>
    <t>Ədədi üsullar - 2</t>
  </si>
  <si>
    <r>
      <rPr>
        <sz val="10"/>
        <color theme="1"/>
        <rFont val="Times New Roman"/>
        <family val="1"/>
      </rPr>
      <t>ÜFS I blok:
1.Psixologiya
2.Sosiologiya
3.Hüququn əsasları</t>
    </r>
    <r>
      <rPr>
        <b/>
        <sz val="10"/>
        <color theme="1"/>
        <rFont val="Times New Roman"/>
        <family val="1"/>
      </rPr>
      <t xml:space="preserve">
4. Mühəndis etikası</t>
    </r>
  </si>
  <si>
    <t>234 CM</t>
  </si>
  <si>
    <t>Elektrotexnika mühəndisliyi</t>
  </si>
  <si>
    <t>Mexanika mühəndisliyi</t>
  </si>
  <si>
    <t>Kompüter əsaslı cihaz mühəndisliyi</t>
  </si>
  <si>
    <r>
      <rPr>
        <sz val="10"/>
        <color theme="1"/>
        <rFont val="Times New Roman"/>
        <family val="1"/>
      </rPr>
      <t xml:space="preserve">ATMF V  blok: 	
1.Həyat fəaliyyətinin təhlükəsizliyi.
</t>
    </r>
    <r>
      <rPr>
        <b/>
        <sz val="10"/>
        <color theme="1"/>
        <rFont val="Times New Roman"/>
        <family val="1"/>
      </rPr>
      <t>2. Maşın və mexanizmlərin dinamikası</t>
    </r>
  </si>
  <si>
    <r>
      <rPr>
        <b/>
        <sz val="10"/>
        <color theme="1"/>
        <rFont val="Times New Roman"/>
        <family val="1"/>
      </rPr>
      <t xml:space="preserve">ATMF VI blok:
1. Mühəndis riyaziyyatı +
</t>
    </r>
    <r>
      <rPr>
        <sz val="10"/>
        <color theme="1"/>
        <rFont val="Times New Roman"/>
        <family val="1"/>
      </rPr>
      <t>2. Diferensial tənliklər</t>
    </r>
  </si>
  <si>
    <r>
      <rPr>
        <b/>
        <sz val="10"/>
        <color theme="1"/>
        <rFont val="Times New Roman"/>
        <family val="1"/>
      </rPr>
      <t>ATMF VII blok:
1. Riyazi məntiqi məsələlər +</t>
    </r>
    <r>
      <rPr>
        <sz val="10"/>
        <color theme="1"/>
        <rFont val="Times New Roman"/>
        <family val="1"/>
      </rPr>
      <t xml:space="preserve">
2. Diskret riyaziyyat</t>
    </r>
  </si>
  <si>
    <t>Meşə maşın və traktorları</t>
  </si>
  <si>
    <t>233 K ing
233 İT ing</t>
  </si>
  <si>
    <r>
      <rPr>
        <sz val="10"/>
        <color theme="1"/>
        <rFont val="Times New Roman"/>
        <family val="1"/>
      </rPr>
      <t xml:space="preserve">ATMF VI blok: 
1. İnformasiya kommunikasiya sistemləri 
2. İnsan-kompüter interfeysi (UI/UX)
</t>
    </r>
    <r>
      <rPr>
        <b/>
        <sz val="10"/>
        <color theme="1"/>
        <rFont val="Times New Roman"/>
        <family val="1"/>
      </rPr>
      <t>3. Riyazi məntiqi məsələlər</t>
    </r>
  </si>
  <si>
    <t>8
13</t>
  </si>
  <si>
    <t>233 K</t>
  </si>
  <si>
    <r>
      <rPr>
        <b/>
        <sz val="10"/>
        <color theme="1"/>
        <rFont val="Times New Roman"/>
        <family val="1"/>
      </rPr>
      <t>ATMF XIII blok:
1. Robototexnika +</t>
    </r>
    <r>
      <rPr>
        <sz val="10"/>
        <color theme="1"/>
        <rFont val="Times New Roman"/>
        <family val="1"/>
      </rPr>
      <t xml:space="preserve">
2. Elektrotexnika</t>
    </r>
  </si>
  <si>
    <t>233 K ing</t>
  </si>
  <si>
    <t>233 KE ing</t>
  </si>
  <si>
    <r>
      <rPr>
        <sz val="10"/>
        <color theme="1"/>
        <rFont val="Times New Roman"/>
        <family val="1"/>
      </rPr>
      <t xml:space="preserve"> ATMF IX blok: 
</t>
    </r>
    <r>
      <rPr>
        <b/>
        <sz val="10"/>
        <color theme="1"/>
        <rFont val="Times New Roman"/>
        <family val="1"/>
      </rPr>
      <t xml:space="preserve">1. Riyazi məntiqi məsələlər
</t>
    </r>
    <r>
      <rPr>
        <sz val="10"/>
        <color theme="1"/>
        <rFont val="Times New Roman"/>
        <family val="1"/>
      </rPr>
      <t>2. Lazer və onun istifadəsi
3. Kompüter riyaziyyatı</t>
    </r>
  </si>
  <si>
    <t xml:space="preserve">233 KE </t>
  </si>
  <si>
    <r>
      <rPr>
        <sz val="10"/>
        <color theme="1"/>
        <rFont val="Times New Roman"/>
        <family val="1"/>
      </rPr>
      <t xml:space="preserve">ATMF VI blok: 
</t>
    </r>
    <r>
      <rPr>
        <b/>
        <sz val="10"/>
        <color theme="1"/>
        <rFont val="Times New Roman"/>
        <family val="1"/>
      </rPr>
      <t>1. Robototexnika</t>
    </r>
    <r>
      <rPr>
        <sz val="10"/>
        <color theme="1"/>
        <rFont val="Times New Roman"/>
        <family val="1"/>
      </rPr>
      <t xml:space="preserve">
2. Elektrotexnika
3. Qərarqəbuletmə sistemləri</t>
    </r>
  </si>
  <si>
    <t>233 KE</t>
  </si>
  <si>
    <t>Kompleks analiz</t>
  </si>
  <si>
    <t>Yer qur. və kad.</t>
  </si>
  <si>
    <t>233 CM ing</t>
  </si>
  <si>
    <t>Sənaye cihazları</t>
  </si>
  <si>
    <t>Cihaz müh</t>
  </si>
  <si>
    <t>Materialşünaslıq</t>
  </si>
  <si>
    <r>
      <rPr>
        <b/>
        <sz val="10"/>
        <color theme="1"/>
        <rFont val="Times New Roman"/>
        <family val="1"/>
      </rPr>
      <t>ATMF XIII blok:</t>
    </r>
    <r>
      <rPr>
        <sz val="10"/>
        <color theme="1"/>
        <rFont val="Times New Roman"/>
        <family val="1"/>
      </rPr>
      <t xml:space="preserve">
1. İntellektual sistemlər
</t>
    </r>
    <r>
      <rPr>
        <b/>
        <sz val="10"/>
        <color theme="1"/>
        <rFont val="Times New Roman"/>
        <family val="1"/>
      </rPr>
      <t>2. Müasir istehsalat prosesləri +</t>
    </r>
  </si>
  <si>
    <r>
      <rPr>
        <b/>
        <sz val="10"/>
        <color theme="1"/>
        <rFont val="Times New Roman"/>
        <family val="1"/>
      </rPr>
      <t>ATMF XIV blok:</t>
    </r>
    <r>
      <rPr>
        <sz val="10"/>
        <color theme="1"/>
        <rFont val="Times New Roman"/>
        <family val="1"/>
      </rPr>
      <t xml:space="preserve">
1. Robototexniki komplekslər
</t>
    </r>
    <r>
      <rPr>
        <b/>
        <sz val="10"/>
        <color theme="1"/>
        <rFont val="Times New Roman"/>
        <family val="1"/>
      </rPr>
      <t>2. Sənaye robotları +</t>
    </r>
  </si>
  <si>
    <t>Riyaziyyat</t>
  </si>
  <si>
    <t xml:space="preserve">Fizika </t>
  </si>
  <si>
    <t>Riyazi statistika</t>
  </si>
  <si>
    <t>2233 K</t>
  </si>
  <si>
    <t>Elektronikanın əsasları</t>
  </si>
  <si>
    <t>2232 K</t>
  </si>
  <si>
    <r>
      <rPr>
        <b/>
        <sz val="10"/>
        <color theme="1"/>
        <rFont val="Times New Roman"/>
        <family val="1"/>
      </rPr>
      <t>ATMF XIV blok:
1. Robototexnika +</t>
    </r>
    <r>
      <rPr>
        <sz val="10"/>
        <color theme="1"/>
        <rFont val="Times New Roman"/>
        <family val="1"/>
      </rPr>
      <t xml:space="preserve">
2. Elektrotexnika</t>
    </r>
  </si>
  <si>
    <t xml:space="preserve">2234 KE </t>
  </si>
  <si>
    <t>2234 İT</t>
  </si>
  <si>
    <t>Diferensial tənliklər</t>
  </si>
  <si>
    <t>Diskret riyaziyyat</t>
  </si>
  <si>
    <t xml:space="preserve">2234 İ </t>
  </si>
  <si>
    <t>Ehtimal nəzəriyyəsi (Probably Theory)</t>
  </si>
  <si>
    <t xml:space="preserve">2535 İ
2535 ML
2535 MU
2535 Bİ
2535 MRK
</t>
  </si>
  <si>
    <t>iqtisadiyyat
Maliyyə
Mühasibat
Biznesin idarəed.
Marketinq</t>
  </si>
  <si>
    <t>Psixologiyada riyazi və statistik metodlar</t>
  </si>
  <si>
    <t>2132 T</t>
  </si>
  <si>
    <t>Tarixi tədqiqatlarda riyazi metodlar</t>
  </si>
  <si>
    <t>marketinq
biznesin idarə edilməsi
Döv.bələd.id.
İqtisadiyyat
Maliyyə
Mühasibat</t>
  </si>
  <si>
    <t>536 DBİ</t>
  </si>
  <si>
    <t>Döv.bələd.id.</t>
  </si>
  <si>
    <t>Biznesin id.ed.</t>
  </si>
  <si>
    <t>Tətbiqi fizika</t>
  </si>
  <si>
    <t>Kompüter əsaslı mühəndis qrafikası</t>
  </si>
  <si>
    <t>034</t>
  </si>
  <si>
    <t>034 ing</t>
  </si>
  <si>
    <t>134 Sİ</t>
  </si>
  <si>
    <t>Sosial işdə riyazi metodlar</t>
  </si>
  <si>
    <t>134 Sİ rus</t>
  </si>
  <si>
    <t>Riyazi analiz - 1</t>
  </si>
  <si>
    <t>Xətti cəbr (Linear Algebra)</t>
  </si>
  <si>
    <t>İnform.təh.</t>
  </si>
  <si>
    <t>236 CM
'236 QM
236 MRM</t>
  </si>
  <si>
    <t>Cihaz müh.
Mexat.və rob
Qida müh</t>
  </si>
  <si>
    <t>20
20
30</t>
  </si>
  <si>
    <t>Mühəndis qrafikası və dizayn</t>
  </si>
  <si>
    <t>Ekologiya
Meşəçilik</t>
  </si>
  <si>
    <t>Riyaziyyat - 2</t>
  </si>
  <si>
    <t>Nəzəri mexanika</t>
  </si>
  <si>
    <t>235 K
235 İT</t>
  </si>
  <si>
    <t>25
40</t>
  </si>
  <si>
    <t>235 K ing
235 İT ing</t>
  </si>
  <si>
    <t>34
29</t>
  </si>
  <si>
    <t>Ədədi üsullar - 1</t>
  </si>
  <si>
    <t>Mikroprosessorlar və mikrokontrollerlər</t>
  </si>
  <si>
    <r>
      <rPr>
        <b/>
        <sz val="10"/>
        <color theme="1"/>
        <rFont val="Times New Roman"/>
        <family val="1"/>
      </rPr>
      <t xml:space="preserve">ATMF III blok
1. Biotibbi cihaz, aparat, sistem və komplekslər </t>
    </r>
    <r>
      <rPr>
        <sz val="10"/>
        <color theme="1"/>
        <rFont val="Times New Roman"/>
        <family val="1"/>
      </rPr>
      <t xml:space="preserve">
2. Kompüter biotibbi qurğular</t>
    </r>
  </si>
  <si>
    <r>
      <rPr>
        <b/>
        <sz val="10"/>
        <color theme="1"/>
        <rFont val="Times New Roman"/>
        <family val="1"/>
      </rPr>
      <t>ATMF IV blok:</t>
    </r>
    <r>
      <rPr>
        <sz val="10"/>
        <color theme="1"/>
        <rFont val="Times New Roman"/>
        <family val="1"/>
      </rPr>
      <t xml:space="preserve">
1. Lazer və onun istifadəsi
</t>
    </r>
    <r>
      <rPr>
        <b/>
        <sz val="10"/>
        <color theme="1"/>
        <rFont val="Times New Roman"/>
        <family val="1"/>
      </rPr>
      <t xml:space="preserve">2. Lazer texnikası </t>
    </r>
  </si>
  <si>
    <t>Elektronika</t>
  </si>
  <si>
    <t>Mexatronika və robototexnika sistemlərinin  layihələndirilməsi</t>
  </si>
  <si>
    <r>
      <rPr>
        <sz val="10"/>
        <color theme="1"/>
        <rFont val="Times New Roman"/>
        <family val="1"/>
      </rPr>
      <t xml:space="preserve">ATMF IV blok:
</t>
    </r>
    <r>
      <rPr>
        <b/>
        <sz val="10"/>
        <color theme="1"/>
        <rFont val="Times New Roman"/>
        <family val="1"/>
      </rPr>
      <t xml:space="preserve">1.Elektrik maşınları </t>
    </r>
  </si>
  <si>
    <r>
      <rPr>
        <sz val="10"/>
        <color theme="1"/>
        <rFont val="Times New Roman"/>
        <family val="1"/>
      </rPr>
      <t xml:space="preserve">ATMF V blok:
1.Quraşdırılmış mikroprosessorlar 
2.Mikroprosessorlar və mikrokontrollerlər
</t>
    </r>
    <r>
      <rPr>
        <b/>
        <sz val="10"/>
        <color theme="1"/>
        <rFont val="Times New Roman"/>
        <family val="1"/>
      </rPr>
      <t>3.Sxemotexnikanın əsasları</t>
    </r>
  </si>
  <si>
    <t xml:space="preserve">234 K </t>
  </si>
  <si>
    <t xml:space="preserve">234 İT </t>
  </si>
  <si>
    <r>
      <rPr>
        <sz val="10"/>
        <color theme="1"/>
        <rFont val="Times New Roman"/>
        <family val="1"/>
      </rPr>
      <t xml:space="preserve">ATMF XI blok:
1. Metrologiya və sertifikatlaşdırma
</t>
    </r>
    <r>
      <rPr>
        <b/>
        <sz val="10"/>
        <color theme="1"/>
        <rFont val="Times New Roman"/>
        <family val="1"/>
      </rPr>
      <t>2. Sosial fizika</t>
    </r>
  </si>
  <si>
    <t>234 İT ing</t>
  </si>
  <si>
    <t>Elektronika və sxemotexnika</t>
  </si>
  <si>
    <t>Keyfiyyətə nəzarət və metrologiya</t>
  </si>
  <si>
    <t>Ölçmə texnologiyaları</t>
  </si>
  <si>
    <r>
      <rPr>
        <sz val="10"/>
        <color theme="1"/>
        <rFont val="Times New Roman"/>
        <family val="1"/>
      </rPr>
      <t xml:space="preserve">ATMF VIII blok:
1. Materiallar və proseslər
</t>
    </r>
    <r>
      <rPr>
        <b/>
        <sz val="10"/>
        <color theme="1"/>
        <rFont val="Times New Roman"/>
        <family val="1"/>
      </rPr>
      <t>2. Nanotexnologiyalar</t>
    </r>
  </si>
  <si>
    <r>
      <rPr>
        <b/>
        <sz val="10"/>
        <color theme="1"/>
        <rFont val="Times New Roman"/>
        <family val="1"/>
      </rPr>
      <t>ATMF IX blok:</t>
    </r>
    <r>
      <rPr>
        <sz val="10"/>
        <color theme="1"/>
        <rFont val="Times New Roman"/>
        <family val="1"/>
      </rPr>
      <t xml:space="preserve">
1. Optik informasiya sistemləri
</t>
    </r>
    <r>
      <rPr>
        <b/>
        <sz val="10"/>
        <color theme="1"/>
        <rFont val="Times New Roman"/>
        <family val="1"/>
      </rPr>
      <t>2. Mühəndis layihələndirmə sistemləri +</t>
    </r>
  </si>
  <si>
    <t>Mühəndis qrafikası</t>
  </si>
  <si>
    <t>233 İT</t>
  </si>
  <si>
    <r>
      <rPr>
        <sz val="10"/>
        <color theme="1"/>
        <rFont val="Times New Roman"/>
        <family val="1"/>
      </rPr>
      <t xml:space="preserve">ATMF VIII blok:
</t>
    </r>
    <r>
      <rPr>
        <b/>
        <sz val="10"/>
        <color theme="1"/>
        <rFont val="Times New Roman"/>
        <family val="1"/>
      </rPr>
      <t xml:space="preserve">1. Robotexnikanın əsasları </t>
    </r>
    <r>
      <rPr>
        <sz val="10"/>
        <color theme="1"/>
        <rFont val="Times New Roman"/>
        <family val="1"/>
      </rPr>
      <t xml:space="preserve">
2. Elektrotexnika</t>
    </r>
  </si>
  <si>
    <t>233 İT ing</t>
  </si>
  <si>
    <t>Diferensial tənlikər</t>
  </si>
  <si>
    <t xml:space="preserve">2233 KE </t>
  </si>
  <si>
    <r>
      <rPr>
        <sz val="10"/>
        <color theme="1"/>
        <rFont val="Times New Roman"/>
        <family val="1"/>
      </rPr>
      <t xml:space="preserve">ATMF VI blok:
</t>
    </r>
    <r>
      <rPr>
        <b/>
        <sz val="10"/>
        <color theme="1"/>
        <rFont val="Times New Roman"/>
        <family val="1"/>
      </rPr>
      <t>1. Robototexnika</t>
    </r>
    <r>
      <rPr>
        <sz val="10"/>
        <color theme="1"/>
        <rFont val="Times New Roman"/>
        <family val="1"/>
      </rPr>
      <t xml:space="preserve">
2. Elektrotexnika 
3. Qərarqəbuletmə sistemləri</t>
    </r>
  </si>
  <si>
    <t>2233 İT</t>
  </si>
  <si>
    <r>
      <rPr>
        <b/>
        <sz val="10"/>
        <color theme="1"/>
        <rFont val="Times New Roman"/>
        <family val="1"/>
      </rPr>
      <t>ATMF XI blok:
1. Metrologiya və sertifikatlaşdırma</t>
    </r>
    <r>
      <rPr>
        <sz val="10"/>
        <color theme="1"/>
        <rFont val="Times New Roman"/>
        <family val="1"/>
      </rPr>
      <t xml:space="preserve">
2. Lazer və onun istifadəsi
3. Sosial fizika</t>
    </r>
  </si>
  <si>
    <t>Biofizika</t>
  </si>
  <si>
    <t>Marketinq
Menecment</t>
  </si>
  <si>
    <t>biznesin idarə edilməsi</t>
  </si>
  <si>
    <t>136  F</t>
  </si>
  <si>
    <t>Məntiq-2</t>
  </si>
  <si>
    <t>fəlsəfə</t>
  </si>
  <si>
    <t>“Proqramlaşdırma və informasiya təhlükəsizliyi”  kafedrasına verilmiş tədris-pedaqoji</t>
  </si>
  <si>
    <t>036
3/336 F</t>
  </si>
  <si>
    <t>Müasir informasiya-kommunikasiya texnologiyaları və informasiya təhlükəsizliyi</t>
  </si>
  <si>
    <t>Psixologiya
filologiya azərbaycan dili və ədəbiyyatı</t>
  </si>
  <si>
    <t>036 ing
336 F1,2</t>
  </si>
  <si>
    <t>Psixologiya
filologiya (ingilis dili və ədəbiyyatı</t>
  </si>
  <si>
    <t>Proqramlaşdırmanın əsasları - 1</t>
  </si>
  <si>
    <t>İnformasiya təhlükəsizliyinin əsasları</t>
  </si>
  <si>
    <t>236 İ
236 MRM</t>
  </si>
  <si>
    <t>Proqramlaşdırmanın əsasları</t>
  </si>
  <si>
    <t>İnform. Təh
Mexat.və rob</t>
  </si>
  <si>
    <t>236 İ ing
236 MRM ing</t>
  </si>
  <si>
    <t>235 K</t>
  </si>
  <si>
    <t>235 K ing</t>
  </si>
  <si>
    <t>Proqramlaşdırmanın əsasları - 3</t>
  </si>
  <si>
    <t>Veb texnologiyalar</t>
  </si>
  <si>
    <t>235 İT</t>
  </si>
  <si>
    <t>235 İT ing</t>
  </si>
  <si>
    <t>Şəbəkələrin təhlükəsizliyi (Network security)</t>
  </si>
  <si>
    <t xml:space="preserve">234 K 
234 İT </t>
  </si>
  <si>
    <t>Verilənlər bazası sistemləri</t>
  </si>
  <si>
    <t>27
21</t>
  </si>
  <si>
    <t>234 K ing
234 İT ing</t>
  </si>
  <si>
    <t>25
18</t>
  </si>
  <si>
    <t>Proqramlaşdırma texnologiyaları</t>
  </si>
  <si>
    <t>İnformasiya təhlükəsizliyi</t>
  </si>
  <si>
    <t>İnformasiya  təhlükəsizliyinin idarəedilməsi sistemləri (İnformation security management systems)</t>
  </si>
  <si>
    <t>Verilənlər bazalarının təhlükəsizliyi (Database security)</t>
  </si>
  <si>
    <t>Bulud təhlükəsizliyi (Cloud security)</t>
  </si>
  <si>
    <t>Alqoritmlərin analizi və hazırlanması üsulları - 2</t>
  </si>
  <si>
    <t>Müasir proqramlaşdırma dilləri</t>
  </si>
  <si>
    <t>Süni intellekt</t>
  </si>
  <si>
    <t>233 İ</t>
  </si>
  <si>
    <t>Təhlükəsiz proqramlaşdırma (Secure programming)</t>
  </si>
  <si>
    <t>233 İ ing</t>
  </si>
  <si>
    <t>Rəqəmsal kriminalistikanın əsasları (Digital Forensics fudamentals</t>
  </si>
  <si>
    <t>Sənaye idarəetmə sistemlərinin təhlükəsizliyi (Security of industrial management systems)</t>
  </si>
  <si>
    <t>2233 K
2233 İT
2232 İT</t>
  </si>
  <si>
    <t>7
5
4</t>
  </si>
  <si>
    <t>Paralel və paylanmış hesablamalar</t>
  </si>
  <si>
    <t>Alqoritmlərin analizi və hazırlanması üsulları - 1</t>
  </si>
  <si>
    <t>Verilənlərin strukturu və alqoritmlər</t>
  </si>
  <si>
    <t>Veb sistemləri və texnologiyaları</t>
  </si>
  <si>
    <t>Veb təhlükəsizliyi ( Web security)</t>
  </si>
  <si>
    <t>İnformasiya təhlükəsizliyi və kibertəhlükəsizliyin  hüquqi aspektləri (Legal aspects of information security and cybersecurity)</t>
  </si>
  <si>
    <t>2233 İ</t>
  </si>
  <si>
    <t>Kriptoqrafiyanın əsasları (Basics of cryptography)</t>
  </si>
  <si>
    <t>Nüfuzetmə siqnallarının əsasları (Pemetration testing)</t>
  </si>
  <si>
    <t>2233 İ
2232 İ</t>
  </si>
  <si>
    <t>İnform.təh
nform.təh</t>
  </si>
  <si>
    <t xml:space="preserve">2232 İ </t>
  </si>
  <si>
    <t>Optimallaşdırma üsulları</t>
  </si>
  <si>
    <t>Proqramlaşdırmanın əsasları - 2</t>
  </si>
  <si>
    <t>Kibertəhlükəsizliyin əsasları</t>
  </si>
  <si>
    <t>235 K ing
235  İT ing</t>
  </si>
  <si>
    <t>Kompüter sistemlərinin təhlükəsizliyi</t>
  </si>
  <si>
    <t>Elektronikanın əsasları və İoT təhlükəsizliyi (Basic of electronics and İoT security)</t>
  </si>
  <si>
    <t>2233 KE 
2234 İT</t>
  </si>
  <si>
    <t>135 F
135 T az</t>
  </si>
  <si>
    <t xml:space="preserve">fəlsəfə
tarix
</t>
  </si>
  <si>
    <t>19
30</t>
  </si>
  <si>
    <t>135 T ing
935 BM ing</t>
  </si>
  <si>
    <t>tarix
Beynəl.mün</t>
  </si>
  <si>
    <t>435 R az
935 BM az</t>
  </si>
  <si>
    <t>28
25</t>
  </si>
  <si>
    <t>“İnformasiya texnologiyaları”  kafedrasına verilmiş tədris-pedaqoji</t>
  </si>
  <si>
    <t>534 İ
534 ML
534 MU
534 Bİ az
534 MRK</t>
  </si>
  <si>
    <t>İKT-baza kompüter bilikləri</t>
  </si>
  <si>
    <t>23
24
13
13
14</t>
  </si>
  <si>
    <t>Təhsildə İKT</t>
  </si>
  <si>
    <t xml:space="preserve">034
</t>
  </si>
  <si>
    <r>
      <rPr>
        <sz val="10"/>
        <color theme="1"/>
        <rFont val="Times New Roman"/>
        <family val="1"/>
      </rPr>
      <t>ÜFS II blok
1.</t>
    </r>
    <r>
      <rPr>
        <b/>
        <sz val="10"/>
        <color theme="1"/>
        <rFont val="Times New Roman"/>
        <family val="1"/>
      </rPr>
      <t>İnformasiya texnologiyaları(ixtisas üzrə)</t>
    </r>
    <r>
      <rPr>
        <sz val="10"/>
        <color theme="1"/>
        <rFont val="Times New Roman"/>
        <family val="1"/>
      </rPr>
      <t xml:space="preserve">
2.İnformasiyanın idarəedilməsi
3. Sahibkarlığın əsasları və biznesə giriş
4.Politologiya</t>
    </r>
  </si>
  <si>
    <t xml:space="preserve">23
</t>
  </si>
  <si>
    <t>236 K</t>
  </si>
  <si>
    <t>Kompüter mühəndisliyinin əsasları</t>
  </si>
  <si>
    <t>236 K ing</t>
  </si>
  <si>
    <t>236 İT</t>
  </si>
  <si>
    <t>İnformasiya texnologiyalarının əsasları</t>
  </si>
  <si>
    <t>236 İT ing</t>
  </si>
  <si>
    <t>Kompüter sistemlərinin aparat və proqram təminatının əsasları</t>
  </si>
  <si>
    <t>İnformatika</t>
  </si>
  <si>
    <t xml:space="preserve">Əməliyyat sistemləri </t>
  </si>
  <si>
    <r>
      <rPr>
        <sz val="10"/>
        <color theme="1"/>
        <rFont val="Times New Roman"/>
        <family val="1"/>
      </rPr>
      <t xml:space="preserve">ATMF II blok:
</t>
    </r>
    <r>
      <rPr>
        <b/>
        <sz val="10"/>
        <color theme="1"/>
        <rFont val="Times New Roman"/>
        <family val="1"/>
      </rPr>
      <t>1. Kompüterlərin diaqnostikası</t>
    </r>
    <r>
      <rPr>
        <sz val="10"/>
        <color theme="1"/>
        <rFont val="Times New Roman"/>
        <family val="1"/>
      </rPr>
      <t xml:space="preserve">
2. Qərarqəbuletmə sistemləri</t>
    </r>
  </si>
  <si>
    <t>5
4</t>
  </si>
  <si>
    <r>
      <rPr>
        <b/>
        <sz val="10"/>
        <color theme="1"/>
        <rFont val="Times New Roman"/>
        <family val="1"/>
      </rPr>
      <t>ATMF II blok: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1. Kompüter qrafikası</t>
    </r>
    <r>
      <rPr>
        <sz val="10"/>
        <color theme="1"/>
        <rFont val="Times New Roman"/>
        <family val="1"/>
      </rPr>
      <t xml:space="preserve">
2. Tətbiqi proqram paketi</t>
    </r>
  </si>
  <si>
    <t>Əməliyyat sistemləri (Operating systems)</t>
  </si>
  <si>
    <t>234 K 
234 İT</t>
  </si>
  <si>
    <t>Kompüter şəbəkələri</t>
  </si>
  <si>
    <t>Kompüterlərdə modelləşdirmə</t>
  </si>
  <si>
    <t>233 K
233 İT
533 Bİ az
533 MRK</t>
  </si>
  <si>
    <r>
      <rPr>
        <b/>
        <sz val="10"/>
        <color theme="1"/>
        <rFont val="Times New Roman"/>
        <family val="1"/>
      </rPr>
      <t xml:space="preserve">ÜFS II blok:
1. İnformasiya texnologiyaları (ixtisas üzrə) </t>
    </r>
    <r>
      <rPr>
        <sz val="10"/>
        <color theme="1"/>
        <rFont val="Times New Roman"/>
        <family val="1"/>
      </rPr>
      <t xml:space="preserve">
2. İnformasiyanın idarə edilməsi</t>
    </r>
  </si>
  <si>
    <t>Komp.müh
İnform.tex
Biznesin idarə ed.
Marketinq</t>
  </si>
  <si>
    <t>21
17
6
9</t>
  </si>
  <si>
    <t>233 K ing
233 İT ing
233 CM ing</t>
  </si>
  <si>
    <r>
      <rPr>
        <b/>
        <sz val="10"/>
        <color theme="1"/>
        <rFont val="Times New Roman"/>
        <family val="1"/>
      </rPr>
      <t>ÜFS II blok: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1. İnformasiya texnologiyaları</t>
    </r>
    <r>
      <rPr>
        <sz val="10"/>
        <color theme="1"/>
        <rFont val="Times New Roman"/>
        <family val="1"/>
      </rPr>
      <t xml:space="preserve">
2. İnformasiyanın idarə edilməsi
3. Politologiya</t>
    </r>
  </si>
  <si>
    <t>8
13
13</t>
  </si>
  <si>
    <r>
      <rPr>
        <sz val="10"/>
        <color theme="1"/>
        <rFont val="Times New Roman"/>
        <family val="1"/>
      </rPr>
      <t xml:space="preserve">ATMF VI blok: 
1. İnformasiya kommunikasiya sistemləri 
</t>
    </r>
    <r>
      <rPr>
        <b/>
        <sz val="10"/>
        <color theme="1"/>
        <rFont val="Times New Roman"/>
        <family val="1"/>
      </rPr>
      <t>2. İnsan-kompüter interfeysi (UI/UX)</t>
    </r>
    <r>
      <rPr>
        <sz val="10"/>
        <color theme="1"/>
        <rFont val="Times New Roman"/>
        <family val="1"/>
      </rPr>
      <t xml:space="preserve">
3. Riyazi məntiqi məsələlər</t>
    </r>
  </si>
  <si>
    <r>
      <rPr>
        <sz val="10"/>
        <color theme="1"/>
        <rFont val="Times New Roman"/>
        <family val="1"/>
      </rPr>
      <t xml:space="preserve">ATMF X blok: 
</t>
    </r>
    <r>
      <rPr>
        <b/>
        <sz val="10"/>
        <color theme="1"/>
        <rFont val="Times New Roman"/>
        <family val="1"/>
      </rPr>
      <t>1.Rəqəmsal sistemlər</t>
    </r>
    <r>
      <rPr>
        <sz val="10"/>
        <color theme="1"/>
        <rFont val="Times New Roman"/>
        <family val="1"/>
      </rPr>
      <t xml:space="preserve">
2. İntellektual sistemlər
3. Ekspert sistemləri</t>
    </r>
  </si>
  <si>
    <r>
      <rPr>
        <sz val="10"/>
        <color theme="1"/>
        <rFont val="Times New Roman"/>
        <family val="1"/>
      </rPr>
      <t xml:space="preserve">ATMF X blok: 
1.Rəqəmsal sistemlər
2. İntellektual sistemlər
</t>
    </r>
    <r>
      <rPr>
        <b/>
        <sz val="10"/>
        <color theme="1"/>
        <rFont val="Times New Roman"/>
        <family val="1"/>
      </rPr>
      <t>3. Ekspert sistemləri</t>
    </r>
  </si>
  <si>
    <r>
      <rPr>
        <sz val="10"/>
        <color theme="1"/>
        <rFont val="Times New Roman"/>
        <family val="1"/>
      </rPr>
      <t xml:space="preserve">ATMF VI blok: 
1. Robototexnika
2. Elektrotexnika
</t>
    </r>
    <r>
      <rPr>
        <b/>
        <sz val="10"/>
        <color theme="1"/>
        <rFont val="Times New Roman"/>
        <family val="1"/>
      </rPr>
      <t>3. Qərarqəbuletmə sistemləri</t>
    </r>
  </si>
  <si>
    <r>
      <rPr>
        <sz val="10"/>
        <color theme="1"/>
        <rFont val="Times New Roman"/>
        <family val="1"/>
      </rPr>
      <t xml:space="preserve">ATMF VII  blok: 
</t>
    </r>
    <r>
      <rPr>
        <b/>
        <sz val="10"/>
        <color theme="1"/>
        <rFont val="Times New Roman"/>
        <family val="1"/>
      </rPr>
      <t>1. İnformasiya kommunikasiya sistemləri</t>
    </r>
    <r>
      <rPr>
        <sz val="10"/>
        <color theme="1"/>
        <rFont val="Times New Roman"/>
        <family val="1"/>
      </rPr>
      <t xml:space="preserve">
2. Riyazi məntiqi məsələlər</t>
    </r>
  </si>
  <si>
    <r>
      <rPr>
        <sz val="10"/>
        <color theme="1"/>
        <rFont val="Times New Roman"/>
        <family val="1"/>
      </rPr>
      <t xml:space="preserve">ATMF XII blok: 
</t>
    </r>
    <r>
      <rPr>
        <b/>
        <sz val="10"/>
        <color theme="1"/>
        <rFont val="Times New Roman"/>
        <family val="1"/>
      </rPr>
      <t xml:space="preserve">1.Kompüterlərdə modelləşdirmə
</t>
    </r>
    <r>
      <rPr>
        <sz val="10"/>
        <color theme="1"/>
        <rFont val="Times New Roman"/>
        <family val="1"/>
      </rPr>
      <t>2. Avtomatlar nəzəriyyəsi</t>
    </r>
  </si>
  <si>
    <r>
      <rPr>
        <sz val="10"/>
        <color theme="1"/>
        <rFont val="Times New Roman"/>
        <family val="1"/>
      </rPr>
      <t xml:space="preserve">ÜFS II blok:
1. Aqrar sahədə informasiya texnologiyaları
</t>
    </r>
    <r>
      <rPr>
        <b/>
        <sz val="10"/>
        <color theme="1"/>
        <rFont val="Times New Roman"/>
        <family val="1"/>
      </rPr>
      <t>2. Kənd təsərrüfatında informasiyanın idarə edilməsi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(ixtis.üz.)</t>
    </r>
  </si>
  <si>
    <t>2233 K
2232 K</t>
  </si>
  <si>
    <t>Rəqəmsal sistemlər</t>
  </si>
  <si>
    <t>Dövrlər nəzəriyyəsi</t>
  </si>
  <si>
    <t xml:space="preserve">2232 K
2233 K
</t>
  </si>
  <si>
    <r>
      <rPr>
        <b/>
        <sz val="10"/>
        <color theme="1"/>
        <rFont val="Times New Roman"/>
        <family val="1"/>
      </rPr>
      <t>ATMF II blok:
1. Kompüter qrafikası +</t>
    </r>
    <r>
      <rPr>
        <sz val="10"/>
        <color theme="1"/>
        <rFont val="Times New Roman"/>
        <family val="1"/>
      </rPr>
      <t xml:space="preserve">
2. Tətbiqi proqram paketi</t>
    </r>
  </si>
  <si>
    <r>
      <rPr>
        <b/>
        <sz val="10"/>
        <color theme="1"/>
        <rFont val="Times New Roman"/>
        <family val="1"/>
      </rPr>
      <t>ATMF IV blok:</t>
    </r>
    <r>
      <rPr>
        <sz val="10"/>
        <color theme="1"/>
        <rFont val="Times New Roman"/>
        <family val="1"/>
      </rPr>
      <t xml:space="preserve">
1. Sxemotexnikanın əsasları
</t>
    </r>
    <r>
      <rPr>
        <b/>
        <sz val="10"/>
        <color theme="1"/>
        <rFont val="Times New Roman"/>
        <family val="1"/>
      </rPr>
      <t>2. Sistemli analiz +</t>
    </r>
  </si>
  <si>
    <r>
      <rPr>
        <sz val="10"/>
        <color theme="1"/>
        <rFont val="Times New Roman"/>
        <family val="1"/>
      </rPr>
      <t xml:space="preserve">ATMF V blok: 
</t>
    </r>
    <r>
      <rPr>
        <b/>
        <sz val="10"/>
        <color theme="1"/>
        <rFont val="Times New Roman"/>
        <family val="1"/>
      </rPr>
      <t>1. Sistemlərin simulyasiyası</t>
    </r>
    <r>
      <rPr>
        <sz val="10"/>
        <color theme="1"/>
        <rFont val="Times New Roman"/>
        <family val="1"/>
      </rPr>
      <t xml:space="preserve">
2. Verilənlərin paylanmış sistemləri</t>
    </r>
  </si>
  <si>
    <r>
      <rPr>
        <b/>
        <sz val="10"/>
        <color theme="1"/>
        <rFont val="Times New Roman"/>
        <family val="1"/>
      </rPr>
      <t>ATMF VI blok:</t>
    </r>
    <r>
      <rPr>
        <sz val="10"/>
        <color theme="1"/>
        <rFont val="Times New Roman"/>
        <family val="1"/>
      </rPr>
      <t xml:space="preserve">
1. Kibertəhlükəsizliyin təmin edilməsi yolları
</t>
    </r>
    <r>
      <rPr>
        <b/>
        <sz val="10"/>
        <color theme="1"/>
        <rFont val="Times New Roman"/>
        <family val="1"/>
      </rPr>
      <t>2. Rabitə kanalları +</t>
    </r>
  </si>
  <si>
    <t>İnsan kompüter interfeysi</t>
  </si>
  <si>
    <t>2232 İT</t>
  </si>
  <si>
    <t>İT layihələrinin idarə edilməsi</t>
  </si>
  <si>
    <r>
      <rPr>
        <sz val="10"/>
        <color theme="1"/>
        <rFont val="Times New Roman"/>
        <family val="1"/>
      </rPr>
      <t xml:space="preserve">ATMF XII blok:
</t>
    </r>
    <r>
      <rPr>
        <b/>
        <sz val="10"/>
        <color theme="1"/>
        <rFont val="Times New Roman"/>
        <family val="1"/>
      </rPr>
      <t>1. Kompüterlərdə modelləşdirmə</t>
    </r>
    <r>
      <rPr>
        <sz val="10"/>
        <color theme="1"/>
        <rFont val="Times New Roman"/>
        <family val="1"/>
      </rPr>
      <t xml:space="preserve">
2. Avtomatlar nəzəriyyəsi
 </t>
    </r>
  </si>
  <si>
    <r>
      <rPr>
        <b/>
        <sz val="10"/>
        <color theme="1"/>
        <rFont val="Times New Roman"/>
        <family val="1"/>
      </rPr>
      <t>ATMF VIII blok:</t>
    </r>
    <r>
      <rPr>
        <sz val="10"/>
        <color theme="1"/>
        <rFont val="Times New Roman"/>
        <family val="1"/>
      </rPr>
      <t xml:space="preserve">
1. Verilənlərin paylanmış sistemləri
</t>
    </r>
    <r>
      <rPr>
        <b/>
        <sz val="10"/>
        <color theme="1"/>
        <rFont val="Times New Roman"/>
        <family val="1"/>
      </rPr>
      <t>2. Qərarqəbuletmənin intellektual texnologiyaları +</t>
    </r>
  </si>
  <si>
    <t>Biznesin idarə edilməsi
Marketin1</t>
  </si>
  <si>
    <t>İnformasiyanın idarə edilməsi</t>
  </si>
  <si>
    <t>İnformasiya və kommunikasiya texnologiyaları</t>
  </si>
  <si>
    <t>631/5K</t>
  </si>
  <si>
    <t>Magistr kompüter mühəndisliyi</t>
  </si>
  <si>
    <t>Ekspert sistemlər və suni intellekt</t>
  </si>
  <si>
    <t>Paylanmış verilənlər və biliklər bazası</t>
  </si>
  <si>
    <r>
      <rPr>
        <sz val="10"/>
        <color theme="1"/>
        <rFont val="Times New Roman"/>
        <family val="1"/>
      </rPr>
      <t xml:space="preserve">III Seçmə fənn bloku
1.Riyazi və kompüter modelləşməsi
</t>
    </r>
    <r>
      <rPr>
        <b/>
        <sz val="10"/>
        <color theme="1"/>
        <rFont val="Times New Roman"/>
        <family val="1"/>
      </rPr>
      <t>2.Kompüter texnologiyalarında kriptoqrafik üsulla</t>
    </r>
    <r>
      <rPr>
        <sz val="10"/>
        <color theme="1"/>
        <rFont val="Times New Roman"/>
        <family val="1"/>
      </rPr>
      <t>r
3.İqtisadi və maliyyə riyaziyyatı</t>
    </r>
  </si>
  <si>
    <t>632/6 İ
631/6 K</t>
  </si>
  <si>
    <t>İdarəetmədə informasiya sistemləri
Kompüter mühəndisliyi</t>
  </si>
  <si>
    <t xml:space="preserve">
631/6 K ing</t>
  </si>
  <si>
    <t xml:space="preserve">
Kompüter mühəndisliyi</t>
  </si>
  <si>
    <t>632/6 İ</t>
  </si>
  <si>
    <t>İnformasiya texnologiyaların tarixi və metodologiyası</t>
  </si>
  <si>
    <t>İdarəetmədə informasiya sistemləri</t>
  </si>
  <si>
    <t>Kompüter mühəndisliyinin tarixi və metodologiyası</t>
  </si>
  <si>
    <t>Kompüter mühəndisliyi</t>
  </si>
  <si>
    <t>İnternetdə proqramlaşdırma</t>
  </si>
  <si>
    <t>Alqoritmlərin analizi və işlənməsi</t>
  </si>
  <si>
    <t>631/6 K</t>
  </si>
  <si>
    <t>İdarəetmədə  elektron sənəd dövriyyəsi</t>
  </si>
  <si>
    <r>
      <rPr>
        <b/>
        <sz val="10"/>
        <color theme="1"/>
        <rFont val="Times New Roman"/>
        <family val="1"/>
      </rPr>
      <t>I seçmə fənn  bloku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1.Rəqəmsal dövlət və idarəetmədə informasiya sistemləri</t>
    </r>
    <r>
      <rPr>
        <sz val="10"/>
        <color theme="1"/>
        <rFont val="Times New Roman"/>
        <family val="1"/>
      </rPr>
      <t xml:space="preserve">
2.Kompüter şəbəkələrinin  mühafizəsi
3.Müasir  şəbəkə texnologiyaları</t>
    </r>
  </si>
  <si>
    <t>Sistem və proseslərin kompyuter modelləşdirilməsi</t>
  </si>
  <si>
    <t>10
17</t>
  </si>
  <si>
    <t>632/5İ</t>
  </si>
  <si>
    <t>Magistr İnformasiya texnologiyaları</t>
  </si>
  <si>
    <t>Elmi tədqiqatlarda və hesablama təcrübələrinin avtomatlaşdırmasında istifadə olunan proqram paketləri</t>
  </si>
  <si>
    <t>Qərarqəbuletmə nəzəriyyəsinin əsasları</t>
  </si>
  <si>
    <r>
      <rPr>
        <sz val="10"/>
        <color theme="1"/>
        <rFont val="Times New Roman"/>
        <family val="1"/>
      </rPr>
      <t xml:space="preserve">ÜFS II blok
1.İnformasiya texnologiyaları(ixtisas üzrə)
</t>
    </r>
    <r>
      <rPr>
        <b/>
        <sz val="10"/>
        <color theme="1"/>
        <rFont val="Times New Roman"/>
        <family val="1"/>
      </rPr>
      <t>2.İnformasiyanın idarəedilməsi</t>
    </r>
    <r>
      <rPr>
        <sz val="10"/>
        <color theme="1"/>
        <rFont val="Times New Roman"/>
        <family val="1"/>
      </rPr>
      <t xml:space="preserve">
3.Politologiya</t>
    </r>
  </si>
  <si>
    <t>Kompüter arxitekturası</t>
  </si>
  <si>
    <r>
      <rPr>
        <b/>
        <sz val="10"/>
        <color theme="1"/>
        <rFont val="Times New Roman"/>
        <family val="1"/>
      </rPr>
      <t>ATMF: I blok: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1. Sxemotexnikanın əsasları</t>
    </r>
    <r>
      <rPr>
        <sz val="10"/>
        <color theme="1"/>
        <rFont val="Times New Roman"/>
        <family val="1"/>
      </rPr>
      <t xml:space="preserve">
2. Sistemli analiz</t>
    </r>
  </si>
  <si>
    <r>
      <rPr>
        <b/>
        <sz val="10"/>
        <color theme="1"/>
        <rFont val="Times New Roman"/>
        <family val="1"/>
      </rPr>
      <t>ATMF I blok:</t>
    </r>
    <r>
      <rPr>
        <sz val="10"/>
        <color theme="1"/>
        <rFont val="Times New Roman"/>
        <family val="1"/>
      </rPr>
      <t xml:space="preserve">
1. Kompüter modelləşməsi
2. Kompüter sistemlərinin layihələndirilməsi</t>
    </r>
  </si>
  <si>
    <t>Şəbəkələrin əsasları (Basics of networks)</t>
  </si>
  <si>
    <t>Əməliyyat sistemləri</t>
  </si>
  <si>
    <t>235 KE
235 EM</t>
  </si>
  <si>
    <r>
      <rPr>
        <sz val="10"/>
        <color theme="1"/>
        <rFont val="Times New Roman"/>
        <family val="1"/>
      </rPr>
      <t xml:space="preserve">ÜFS-II blok 
</t>
    </r>
    <r>
      <rPr>
        <b/>
        <sz val="10"/>
        <color theme="1"/>
        <rFont val="Times New Roman"/>
        <family val="1"/>
      </rPr>
      <t>1.İnformasiya texnologiyaları (ixtisas üzrə)</t>
    </r>
    <r>
      <rPr>
        <sz val="10"/>
        <color theme="1"/>
        <rFont val="Times New Roman"/>
        <family val="1"/>
      </rPr>
      <t xml:space="preserve">
2.İnformasiyanın idarə edilməsi
3.Politologiya
4.Sahibkarlığın əsasları və biznesə giriş</t>
    </r>
  </si>
  <si>
    <t>Komp.elm
Ekolog.müh</t>
  </si>
  <si>
    <r>
      <rPr>
        <b/>
        <sz val="10"/>
        <color theme="1"/>
        <rFont val="Times New Roman"/>
        <family val="1"/>
      </rPr>
      <t>ATMF III blok::
1. İnsan kompüter interfeysi (Uİ/UX)</t>
    </r>
    <r>
      <rPr>
        <sz val="10"/>
        <color theme="1"/>
        <rFont val="Times New Roman"/>
        <family val="1"/>
      </rPr>
      <t xml:space="preserve">
2.İnformasiya kommunikasiya sistemləri</t>
    </r>
  </si>
  <si>
    <r>
      <rPr>
        <sz val="10"/>
        <color theme="1"/>
        <rFont val="Times New Roman"/>
        <family val="1"/>
      </rPr>
      <t xml:space="preserve">ATMF IV blok:
</t>
    </r>
    <r>
      <rPr>
        <b/>
        <sz val="10"/>
        <color theme="1"/>
        <rFont val="Times New Roman"/>
        <family val="1"/>
      </rPr>
      <t>1. Sistemli analiz</t>
    </r>
    <r>
      <rPr>
        <sz val="10"/>
        <color theme="1"/>
        <rFont val="Times New Roman"/>
        <family val="1"/>
      </rPr>
      <t xml:space="preserve">
2. Sxemotexnikanın əsasları</t>
    </r>
  </si>
  <si>
    <t>İnformasiya texnologiyaların müasir problemləri</t>
  </si>
  <si>
    <t>Rəqəmsal sistemlərin analizi və layihələndirilməsi</t>
  </si>
  <si>
    <t>Kompüter mühəndisliyinin müasir problemləri</t>
  </si>
  <si>
    <t>Kompüter şəbəkələrinin texniki və proqram təminatı</t>
  </si>
  <si>
    <r>
      <rPr>
        <sz val="10"/>
        <color theme="1"/>
        <rFont val="Times New Roman"/>
        <family val="1"/>
      </rPr>
      <t xml:space="preserve">II seçmə fənn bloku
1.Proqnozlaşdırma üsulları
</t>
    </r>
    <r>
      <rPr>
        <b/>
        <sz val="10"/>
        <color theme="1"/>
        <rFont val="Times New Roman"/>
        <family val="1"/>
      </rPr>
      <t>2.İdarəetmədə kompüter modelləşdirilməsi</t>
    </r>
    <r>
      <rPr>
        <sz val="10"/>
        <color theme="1"/>
        <rFont val="Times New Roman"/>
        <family val="1"/>
      </rPr>
      <t xml:space="preserve">
3.Sosial sferanın avtomatlaşdırılma metodları</t>
    </r>
  </si>
  <si>
    <r>
      <rPr>
        <b/>
        <sz val="10"/>
        <color theme="1"/>
        <rFont val="Times New Roman"/>
        <family val="1"/>
      </rPr>
      <t>II seçmə fənn bloku</t>
    </r>
    <r>
      <rPr>
        <sz val="10"/>
        <color theme="1"/>
        <rFont val="Times New Roman"/>
        <family val="1"/>
      </rPr>
      <t xml:space="preserve">
1.Sosial sferanın avtomatlaşdırma metodları
</t>
    </r>
    <r>
      <rPr>
        <b/>
        <sz val="10"/>
        <color theme="1"/>
        <rFont val="Times New Roman"/>
        <family val="1"/>
      </rPr>
      <t>2.İdarəetmədə kompüter modelləşdirilməsi</t>
    </r>
    <r>
      <rPr>
        <sz val="10"/>
        <color theme="1"/>
        <rFont val="Times New Roman"/>
        <family val="1"/>
      </rPr>
      <t xml:space="preserve">
3.Proqnozlaşdırma üsulları</t>
    </r>
  </si>
  <si>
    <t>235 EKO
235 BİO</t>
  </si>
  <si>
    <r>
      <rPr>
        <sz val="10"/>
        <color theme="1"/>
        <rFont val="Times New Roman"/>
        <family val="1"/>
      </rPr>
      <t xml:space="preserve">ÜFS  II blok
1.Ekologiyada informasiya texnolog.tətbiqi
</t>
    </r>
    <r>
      <rPr>
        <b/>
        <sz val="10"/>
        <color theme="1"/>
        <rFont val="Times New Roman"/>
        <family val="1"/>
      </rPr>
      <t>2.İnformasiyanın idarə edilməsi və  məlumat bazasının yaradılması</t>
    </r>
    <r>
      <rPr>
        <sz val="10"/>
        <color theme="1"/>
        <rFont val="Times New Roman"/>
        <family val="1"/>
      </rPr>
      <t xml:space="preserve">
3.Sahibkarlığın əsasları və biznesə giriş
4.Politologiya</t>
    </r>
  </si>
  <si>
    <t>23
23</t>
  </si>
  <si>
    <r>
      <rPr>
        <sz val="10"/>
        <color theme="1"/>
        <rFont val="Times New Roman"/>
        <family val="1"/>
      </rPr>
      <t xml:space="preserve">ÜFS II blok
1.Aqrar sahədə informasiya texnologiyaları
</t>
    </r>
    <r>
      <rPr>
        <b/>
        <sz val="10"/>
        <color theme="1"/>
        <rFont val="Times New Roman"/>
        <family val="1"/>
      </rPr>
      <t>2.Kənd təsərrüfatında informasiyanın idarə edilməsi</t>
    </r>
    <r>
      <rPr>
        <sz val="10"/>
        <color theme="1"/>
        <rFont val="Times New Roman"/>
        <family val="1"/>
      </rPr>
      <t xml:space="preserve">
3.Məntiq
4.Politologiya</t>
    </r>
  </si>
  <si>
    <t>Kompüter qrafikası</t>
  </si>
  <si>
    <r>
      <rPr>
        <sz val="10"/>
        <color theme="1"/>
        <rFont val="Times New Roman"/>
        <family val="1"/>
      </rPr>
      <t xml:space="preserve">ATMF IX blok:
1. Veb proqramlaşdırma
</t>
    </r>
    <r>
      <rPr>
        <b/>
        <sz val="10"/>
        <color theme="1"/>
        <rFont val="Times New Roman"/>
        <family val="1"/>
      </rPr>
      <t>2. Kompüter sistemlərinin layihələndirilməsi</t>
    </r>
  </si>
  <si>
    <r>
      <rPr>
        <b/>
        <sz val="10"/>
        <color theme="1"/>
        <rFont val="Times New Roman"/>
        <family val="1"/>
      </rPr>
      <t>ATMF X blok:</t>
    </r>
    <r>
      <rPr>
        <sz val="10"/>
        <color theme="1"/>
        <rFont val="Times New Roman"/>
        <family val="1"/>
      </rPr>
      <t xml:space="preserve">
1. Verilənlərin paylanmış sistemləri
</t>
    </r>
    <r>
      <rPr>
        <b/>
        <sz val="10"/>
        <color theme="1"/>
        <rFont val="Times New Roman"/>
        <family val="1"/>
      </rPr>
      <t>2. Qərarqəbuletmənin intellektual texnologiyaları +</t>
    </r>
  </si>
  <si>
    <r>
      <rPr>
        <b/>
        <sz val="10"/>
        <color theme="1"/>
        <rFont val="Times New Roman"/>
        <family val="1"/>
      </rPr>
      <t>ÜFS II blok: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1. Aqrar sahədə informasiya texnologiyaları +</t>
    </r>
    <r>
      <rPr>
        <sz val="10"/>
        <color theme="1"/>
        <rFont val="Times New Roman"/>
        <family val="1"/>
      </rPr>
      <t xml:space="preserve">
2. Kənd təsərrüfatında informasiyanın idarə edilməsi</t>
    </r>
  </si>
  <si>
    <r>
      <rPr>
        <sz val="10"/>
        <color theme="1"/>
        <rFont val="Times New Roman"/>
        <family val="1"/>
      </rPr>
      <t xml:space="preserve">ATMF V blok: 
1. Sistemlərin simulyasiyası
</t>
    </r>
    <r>
      <rPr>
        <b/>
        <sz val="10"/>
        <color theme="1"/>
        <rFont val="Times New Roman"/>
        <family val="1"/>
      </rPr>
      <t>2. Verilənlərin paylanmış sistemləri</t>
    </r>
  </si>
  <si>
    <t>2233 K
2233 İT</t>
  </si>
  <si>
    <r>
      <rPr>
        <b/>
        <sz val="10"/>
        <color theme="1"/>
        <rFont val="Times New Roman"/>
        <family val="1"/>
      </rPr>
      <t>ÜFS II blok:
1. İnformasiya texnologiyaları (ixtisas üzrə) +</t>
    </r>
    <r>
      <rPr>
        <sz val="10"/>
        <color theme="1"/>
        <rFont val="Times New Roman"/>
        <family val="1"/>
      </rPr>
      <t xml:space="preserve">
2. İnformasiyanın idarə edilməsi</t>
    </r>
  </si>
  <si>
    <t xml:space="preserve">Komp.müh
İnform.tex
</t>
  </si>
  <si>
    <t>7
5</t>
  </si>
  <si>
    <r>
      <rPr>
        <b/>
        <sz val="10"/>
        <color theme="1"/>
        <rFont val="Times New Roman"/>
        <family val="1"/>
      </rPr>
      <t xml:space="preserve">ATMF IV blok:
</t>
    </r>
    <r>
      <rPr>
        <sz val="10"/>
        <color theme="1"/>
        <rFont val="Times New Roman"/>
        <family val="1"/>
      </rPr>
      <t xml:space="preserve">1. Proqramlaşdırma texnologiyaları
</t>
    </r>
    <r>
      <rPr>
        <b/>
        <sz val="10"/>
        <color theme="1"/>
        <rFont val="Times New Roman"/>
        <family val="1"/>
      </rPr>
      <t>2. Tətbiqi proqram paketi +</t>
    </r>
  </si>
  <si>
    <r>
      <rPr>
        <b/>
        <sz val="10"/>
        <color theme="1"/>
        <rFont val="Times New Roman"/>
        <family val="1"/>
      </rPr>
      <t>ATMF X blok:</t>
    </r>
    <r>
      <rPr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1. Verilənlərin paylanmış sistemləri +</t>
    </r>
    <r>
      <rPr>
        <sz val="10"/>
        <color theme="1"/>
        <rFont val="Times New Roman"/>
        <family val="1"/>
      </rPr>
      <t xml:space="preserve">
2. Qərarqəbuletmənin intellektual texnologiyaları </t>
    </r>
  </si>
  <si>
    <r>
      <rPr>
        <b/>
        <sz val="10"/>
        <color theme="1"/>
        <rFont val="Times New Roman"/>
        <family val="1"/>
      </rPr>
      <t>ATMF V blok:</t>
    </r>
    <r>
      <rPr>
        <sz val="10"/>
        <color theme="1"/>
        <rFont val="Times New Roman"/>
        <family val="1"/>
      </rPr>
      <t xml:space="preserve">
1. Bulud texnologiyaları
</t>
    </r>
    <r>
      <rPr>
        <b/>
        <sz val="10"/>
        <color theme="1"/>
        <rFont val="Times New Roman"/>
        <family val="1"/>
      </rPr>
      <t>2. İT layihələrin idarəedilməsi +</t>
    </r>
  </si>
  <si>
    <t>2534 İ
2534 ML
2534 MU
2534 MRK
2534 Bİ</t>
  </si>
  <si>
    <t>6
7
7
12
10</t>
  </si>
  <si>
    <t>334 F1
334T1
334T2</t>
  </si>
  <si>
    <r>
      <rPr>
        <sz val="10"/>
        <color theme="1"/>
        <rFont val="Times New Roman"/>
        <family val="1"/>
      </rPr>
      <t xml:space="preserve">ÜFS  II blok
</t>
    </r>
    <r>
      <rPr>
        <b/>
        <sz val="10"/>
        <color theme="1"/>
        <rFont val="Times New Roman"/>
        <family val="1"/>
      </rPr>
      <t>1.İnformasiya texnologiyaları (ixtisas üzrə)</t>
    </r>
    <r>
      <rPr>
        <sz val="10"/>
        <color theme="1"/>
        <rFont val="Times New Roman"/>
        <family val="1"/>
      </rPr>
      <t xml:space="preserve">
2.İnformasiyanın idarə edilməsi
3.Sahibkarlığın əsasları və biznesə giriş
4.Politologiya</t>
    </r>
  </si>
  <si>
    <t>15
16
16</t>
  </si>
  <si>
    <t>631/5K
632/5İ</t>
  </si>
  <si>
    <t>Magistr kompüter mühəndisliyi
informasiya texnologiyaları</t>
  </si>
  <si>
    <t xml:space="preserve">25
</t>
  </si>
  <si>
    <t>2536 MRK
2536 Bİ
2536 DBİ
2536 MU</t>
  </si>
  <si>
    <t>10
15
10
10</t>
  </si>
  <si>
    <t xml:space="preserve">536 MRK
</t>
  </si>
  <si>
    <t xml:space="preserve">536 MRK 
</t>
  </si>
  <si>
    <t>20
50</t>
  </si>
  <si>
    <t>50
20</t>
  </si>
  <si>
    <t>9
8
10</t>
  </si>
  <si>
    <t>233 BİO az, ing
233SBİO az,ing</t>
  </si>
  <si>
    <t xml:space="preserve">709/5SBİO
</t>
  </si>
  <si>
    <t xml:space="preserve">magistr su bio eht.
</t>
  </si>
  <si>
    <t xml:space="preserve">9
</t>
  </si>
  <si>
    <t>Dissertasiya işinə rəhbərlik</t>
  </si>
  <si>
    <t>510/5E</t>
  </si>
  <si>
    <t>233 EKO az
233 EKO ing</t>
  </si>
  <si>
    <t>18
15</t>
  </si>
  <si>
    <t>233 M
233 M rus</t>
  </si>
  <si>
    <t>20
18</t>
  </si>
  <si>
    <t>233 EKO az</t>
  </si>
  <si>
    <t>631/5K ing</t>
  </si>
  <si>
    <t>8
8</t>
  </si>
  <si>
    <t>233 İT
233 K</t>
  </si>
  <si>
    <t>233 İT ing
233 K ing</t>
  </si>
  <si>
    <t>13
8</t>
  </si>
  <si>
    <t>17
21</t>
  </si>
  <si>
    <t xml:space="preserve">2232 K
2232 İT
</t>
  </si>
  <si>
    <t>Dissertasiya işinə rəhbər</t>
  </si>
  <si>
    <t>233 KE 
233 İ</t>
  </si>
  <si>
    <t>233 KE ing
233 İ ing</t>
  </si>
  <si>
    <t>13
28</t>
  </si>
  <si>
    <t>QORXMAZ</t>
  </si>
  <si>
    <t>SƏKİNƏ</t>
  </si>
  <si>
    <t>KAMRAN İ</t>
  </si>
  <si>
    <t>RÜFANƏ</t>
  </si>
  <si>
    <t>MURAD</t>
  </si>
  <si>
    <t>JALƏ</t>
  </si>
  <si>
    <t>ELVİN</t>
  </si>
  <si>
    <t>FƏRİDƏ</t>
  </si>
  <si>
    <t>RASİMƏ</t>
  </si>
  <si>
    <t>VƏFA</t>
  </si>
  <si>
    <t>GÜNEL</t>
  </si>
  <si>
    <t>RƏHİLƏ</t>
  </si>
  <si>
    <t>LEYLA</t>
  </si>
  <si>
    <t xml:space="preserve">631/5K </t>
  </si>
  <si>
    <r>
      <rPr>
        <b/>
        <sz val="10"/>
        <rFont val="Times New Roman"/>
        <family val="1"/>
      </rPr>
      <t>ATMF III blok:</t>
    </r>
    <r>
      <rPr>
        <sz val="10"/>
        <rFont val="Times New Roman"/>
        <family val="1"/>
      </rPr>
      <t xml:space="preserve">
1. Rəqəmsal kartoqrafiya və coğrafi informasiya sistemləri
</t>
    </r>
    <r>
      <rPr>
        <b/>
        <sz val="10"/>
        <rFont val="Times New Roman"/>
        <family val="1"/>
      </rPr>
      <t>2. Bulud texnologiyaları +</t>
    </r>
  </si>
  <si>
    <r>
      <rPr>
        <b/>
        <sz val="10"/>
        <rFont val="Times New Roman"/>
        <family val="1"/>
      </rPr>
      <t xml:space="preserve">ATMF II  blok: </t>
    </r>
    <r>
      <rPr>
        <sz val="10"/>
        <rFont val="Times New Roman"/>
        <family val="1"/>
      </rPr>
      <t xml:space="preserve">
1.Korporativ şəbəkə (informasiya) sistemlərinin təhlükəsizliyi
</t>
    </r>
    <r>
      <rPr>
        <b/>
        <sz val="10"/>
        <rFont val="Times New Roman"/>
        <family val="1"/>
      </rPr>
      <t>2.Zərərverici proqram vasitələrinin təhlili (Malware analysis) +</t>
    </r>
  </si>
  <si>
    <r>
      <rPr>
        <b/>
        <sz val="10"/>
        <rFont val="Times New Roman"/>
        <family val="1"/>
      </rPr>
      <t xml:space="preserve">ATMF III blok: 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 xml:space="preserve">1.Sosial şəbəkə analizi </t>
    </r>
    <r>
      <rPr>
        <sz val="10"/>
        <rFont val="Times New Roman"/>
        <family val="1"/>
      </rPr>
      <t xml:space="preserve">
2. Sosial mühəndislik</t>
    </r>
  </si>
  <si>
    <r>
      <rPr>
        <b/>
        <sz val="10"/>
        <rFont val="Times New Roman"/>
        <family val="1"/>
      </rPr>
      <t>ATMF I blok: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1. Proqramlaşdırma dilləri və informatika +</t>
    </r>
    <r>
      <rPr>
        <sz val="10"/>
        <rFont val="Times New Roman"/>
        <family val="1"/>
      </rPr>
      <t xml:space="preserve">
2. Texnika və obyektyönümlü C++ proqramlaşdırma dilləri</t>
    </r>
  </si>
  <si>
    <r>
      <t>ATMF IX blok: 
1. Mobil proqramlaşdırma +</t>
    </r>
    <r>
      <rPr>
        <sz val="10"/>
        <rFont val="Times New Roman"/>
        <family val="1"/>
      </rPr>
      <t xml:space="preserve">
2. Materialşünaslıq</t>
    </r>
  </si>
  <si>
    <r>
      <t xml:space="preserve">ATMF XI blok: 
1. Müasir Veb proqramlaşdırma vasitələri +
</t>
    </r>
    <r>
      <rPr>
        <sz val="10"/>
        <rFont val="Times New Roman"/>
        <family val="1"/>
      </rPr>
      <t>2. Kompüter sistemlərində kriptoqrafik
alqoritmlər</t>
    </r>
  </si>
  <si>
    <r>
      <rPr>
        <b/>
        <sz val="10"/>
        <rFont val="Times New Roman"/>
        <family val="1"/>
      </rPr>
      <t>ATMF XII blok:</t>
    </r>
    <r>
      <rPr>
        <sz val="10"/>
        <rFont val="Times New Roman"/>
        <family val="1"/>
      </rPr>
      <t xml:space="preserve">
1. Data analitikası və Machine Learning
</t>
    </r>
    <r>
      <rPr>
        <b/>
        <sz val="10"/>
        <rFont val="Times New Roman"/>
        <family val="1"/>
      </rPr>
      <t>2. Obyektyönlü proqramlaşdırma+</t>
    </r>
  </si>
  <si>
    <r>
      <t xml:space="preserve">XIII blok: 
1. Müasir Veb proqramlaşdırma vasitələri +
</t>
    </r>
    <r>
      <rPr>
        <sz val="10"/>
        <rFont val="Times New Roman"/>
        <family val="1"/>
      </rPr>
      <t>2. Kompüter sistemlərində kriptoqrafik
alqoritmlər</t>
    </r>
  </si>
  <si>
    <r>
      <rPr>
        <b/>
        <sz val="10"/>
        <rFont val="Times New Roman"/>
        <family val="1"/>
      </rPr>
      <t>ATMF IX blok:</t>
    </r>
    <r>
      <rPr>
        <sz val="10"/>
        <rFont val="Times New Roman"/>
        <family val="1"/>
      </rPr>
      <t xml:space="preserve">
1. Mobil qurğular üçün proqramlaşdırma
</t>
    </r>
    <r>
      <rPr>
        <b/>
        <sz val="10"/>
        <rFont val="Times New Roman"/>
        <family val="1"/>
      </rPr>
      <t>2. Veb proqramlaşdırma +</t>
    </r>
  </si>
  <si>
    <r>
      <rPr>
        <b/>
        <sz val="10"/>
        <rFont val="Times New Roman"/>
        <family val="1"/>
      </rPr>
      <t>ATMF XI blok:
1. Vo İP sistemlərinin təhlükəsizliyi +</t>
    </r>
    <r>
      <rPr>
        <sz val="10"/>
        <rFont val="Times New Roman"/>
        <family val="1"/>
      </rPr>
      <t xml:space="preserve">
2. Blokçeyn texnologiyaları</t>
    </r>
  </si>
  <si>
    <r>
      <rPr>
        <b/>
        <sz val="10"/>
        <rFont val="Times New Roman"/>
        <family val="1"/>
      </rPr>
      <t>ATMF XII blok:
1.Təhlükəsizlik avadanlıqları +</t>
    </r>
    <r>
      <rPr>
        <sz val="10"/>
        <rFont val="Times New Roman"/>
        <family val="1"/>
      </rPr>
      <t xml:space="preserve">
2. Data-mərkəzi əməliyyatlarının əsasları</t>
    </r>
  </si>
  <si>
    <r>
      <t xml:space="preserve">III Seçmə fənn bloku
1.Riyazi və kompüter modelləşməsi
</t>
    </r>
    <r>
      <rPr>
        <b/>
        <sz val="10"/>
        <rFont val="Times New Roman"/>
        <family val="1"/>
      </rPr>
      <t>2.Kompüter texnologiyalarında kriptoqrafik üsulla</t>
    </r>
    <r>
      <rPr>
        <sz val="10"/>
        <rFont val="Times New Roman"/>
        <family val="1"/>
      </rPr>
      <t>r
3.İqtisadi və maliyyə riyaziyyatı</t>
    </r>
  </si>
  <si>
    <r>
      <rPr>
        <b/>
        <sz val="10"/>
        <rFont val="Times New Roman"/>
        <family val="1"/>
      </rPr>
      <t>ATMF IX blok:
1. Veb proqramlaşdırma +</t>
    </r>
    <r>
      <rPr>
        <sz val="10"/>
        <rFont val="Times New Roman"/>
        <family val="1"/>
      </rPr>
      <t xml:space="preserve">
2. Kompüter sistemlərinin layihələndirilməsi</t>
    </r>
  </si>
  <si>
    <r>
      <rPr>
        <b/>
        <sz val="10"/>
        <rFont val="Times New Roman"/>
        <family val="1"/>
      </rPr>
      <t>ATMF V blok:
1. Alqoritmləşdirmə və proqramlaşdırma +</t>
    </r>
    <r>
      <rPr>
        <sz val="10"/>
        <rFont val="Times New Roman"/>
        <family val="1"/>
      </rPr>
      <t xml:space="preserve">
2. Sistemlərin simulyasiyası</t>
    </r>
  </si>
  <si>
    <r>
      <t xml:space="preserve">ATMF IV blok:
</t>
    </r>
    <r>
      <rPr>
        <sz val="10"/>
        <rFont val="Times New Roman"/>
        <family val="1"/>
      </rPr>
      <t xml:space="preserve">1.Sistem proqramlaşdırması
</t>
    </r>
    <r>
      <rPr>
        <b/>
        <sz val="10"/>
        <rFont val="Times New Roman"/>
        <family val="1"/>
      </rPr>
      <t>2. C proqramlaşdırma dili +</t>
    </r>
  </si>
  <si>
    <r>
      <rPr>
        <b/>
        <sz val="10"/>
        <rFont val="Times New Roman"/>
        <family val="1"/>
      </rPr>
      <t>ATMF VII blok:</t>
    </r>
    <r>
      <rPr>
        <sz val="10"/>
        <rFont val="Times New Roman"/>
        <family val="1"/>
      </rPr>
      <t xml:space="preserve">
1. Maşın öyrənmə
</t>
    </r>
    <r>
      <rPr>
        <b/>
        <sz val="10"/>
        <rFont val="Times New Roman"/>
        <family val="1"/>
      </rPr>
      <t>2. Rəqəmsal təsvir və video emalın əsasları (Fundamentals of digital image and video processing) +</t>
    </r>
  </si>
  <si>
    <r>
      <t xml:space="preserve">ATMF XIII  blok: 
</t>
    </r>
    <r>
      <rPr>
        <b/>
        <sz val="10"/>
        <rFont val="Times New Roman"/>
        <family val="1"/>
      </rPr>
      <t>1.Rəqəmsal transformasiya</t>
    </r>
    <r>
      <rPr>
        <sz val="10"/>
        <rFont val="Times New Roman"/>
        <family val="1"/>
      </rPr>
      <t xml:space="preserve">
2.Korporativ şəbəkə (informasiya) sistemlərinin təhlükəsizliyi
</t>
    </r>
  </si>
  <si>
    <r>
      <t xml:space="preserve">ATMF XII blok:
1.Təhlükəsizlik avadanlıqları 
</t>
    </r>
    <r>
      <rPr>
        <b/>
        <sz val="10"/>
        <rFont val="Times New Roman"/>
        <family val="1"/>
      </rPr>
      <t>2. Data-mərkəzi əməliyyatlarının əsasları</t>
    </r>
  </si>
  <si>
    <r>
      <t xml:space="preserve"> ATMF IX blok: 
1. Riyazi məntiqi məsələlər
2. Lazer və onun istifadəsi
</t>
    </r>
    <r>
      <rPr>
        <b/>
        <sz val="10"/>
        <rFont val="Times New Roman"/>
        <family val="1"/>
      </rPr>
      <t>3. Kompüter riyaziyyatı</t>
    </r>
  </si>
  <si>
    <r>
      <rPr>
        <b/>
        <sz val="10"/>
        <rFont val="Times New Roman"/>
        <family val="1"/>
      </rPr>
      <t>ATMF III blok:
1. Proqramlaşdırma texnologiyaları +</t>
    </r>
    <r>
      <rPr>
        <sz val="10"/>
        <rFont val="Times New Roman"/>
        <family val="1"/>
      </rPr>
      <t xml:space="preserve">
2. Tətbiqi proqram paketi</t>
    </r>
  </si>
  <si>
    <r>
      <rPr>
        <b/>
        <sz val="10"/>
        <rFont val="Times New Roman"/>
        <family val="1"/>
      </rPr>
      <t xml:space="preserve">ATMF IV blok:
1. Alqoritmləşdirmə və proqramlaşdırma +
</t>
    </r>
    <r>
      <rPr>
        <sz val="10"/>
        <rFont val="Times New Roman"/>
        <family val="1"/>
      </rPr>
      <t>2. Sistemlərin simulyasiyası</t>
    </r>
  </si>
  <si>
    <r>
      <rPr>
        <b/>
        <sz val="10"/>
        <rFont val="Times New Roman"/>
        <family val="1"/>
      </rPr>
      <t>ATMF V blok:
1. Kibertəhlükəsizliyin təmin edilməsi yolları +</t>
    </r>
    <r>
      <rPr>
        <sz val="10"/>
        <rFont val="Times New Roman"/>
        <family val="1"/>
      </rPr>
      <t xml:space="preserve">
2. Rabitə kanalları</t>
    </r>
  </si>
  <si>
    <r>
      <rPr>
        <b/>
        <sz val="10"/>
        <rFont val="Times New Roman"/>
        <family val="1"/>
      </rPr>
      <t>ATMF IV blok:
1. Proqramlaşdırma texnologiyaları +</t>
    </r>
    <r>
      <rPr>
        <sz val="10"/>
        <rFont val="Times New Roman"/>
        <family val="1"/>
      </rPr>
      <t xml:space="preserve">
2. Tətbiqi proqram paketi</t>
    </r>
  </si>
  <si>
    <r>
      <t xml:space="preserve">ATMF I blok:
</t>
    </r>
    <r>
      <rPr>
        <sz val="10"/>
        <rFont val="Times New Roman"/>
        <family val="1"/>
      </rPr>
      <t xml:space="preserve">1. Alqoritmlərin qurulması və analizi
</t>
    </r>
    <r>
      <rPr>
        <b/>
        <sz val="10"/>
        <rFont val="Times New Roman"/>
        <family val="1"/>
      </rPr>
      <t>2. Sistem dizaynı +</t>
    </r>
  </si>
  <si>
    <r>
      <t xml:space="preserve">ATMF IV blok:
</t>
    </r>
    <r>
      <rPr>
        <sz val="10"/>
        <rFont val="Times New Roman"/>
        <family val="1"/>
      </rPr>
      <t xml:space="preserve">1.Sistem proqramlaşdırması
</t>
    </r>
    <r>
      <rPr>
        <b/>
        <sz val="10"/>
        <rFont val="Times New Roman"/>
        <family val="1"/>
      </rPr>
      <t xml:space="preserve">2. C proqramlaşdırma dili </t>
    </r>
  </si>
  <si>
    <r>
      <t xml:space="preserve">ATMF IV blok:
</t>
    </r>
    <r>
      <rPr>
        <b/>
        <sz val="10"/>
        <rFont val="Times New Roman"/>
        <family val="1"/>
      </rPr>
      <t>1.Sistem proqramlaşdırması</t>
    </r>
    <r>
      <rPr>
        <sz val="10"/>
        <rFont val="Times New Roman"/>
        <family val="1"/>
      </rPr>
      <t xml:space="preserve">
2. C proqramlaşdırma dili </t>
    </r>
  </si>
  <si>
    <r>
      <rPr>
        <b/>
        <sz val="10"/>
        <rFont val="Times New Roman"/>
        <family val="1"/>
      </rPr>
      <t>ATMF VI blok:</t>
    </r>
    <r>
      <rPr>
        <sz val="10"/>
        <rFont val="Times New Roman"/>
        <family val="1"/>
      </rPr>
      <t xml:space="preserve">
1. Verilənlər bazası idarəetmə sistemləri
2. Mikroservislər arxitekturası
</t>
    </r>
    <r>
      <rPr>
        <b/>
        <sz val="10"/>
        <rFont val="Times New Roman"/>
        <family val="1"/>
      </rPr>
      <t xml:space="preserve">3. Kiber risklərin idarə edilməsi </t>
    </r>
  </si>
  <si>
    <r>
      <rPr>
        <b/>
        <sz val="10"/>
        <rFont val="Times New Roman"/>
        <family val="1"/>
      </rPr>
      <t>ATMF IX blok:
1. Veb proqramlaşdırma +</t>
    </r>
    <r>
      <rPr>
        <sz val="10"/>
        <rFont val="Times New Roman"/>
        <family val="1"/>
      </rPr>
      <t xml:space="preserve">
2. Kompüter sistemlərinin layihələndirilməsi
3. Rəqəmsal sistemlər</t>
    </r>
  </si>
  <si>
    <r>
      <rPr>
        <b/>
        <sz val="10"/>
        <rFont val="Times New Roman"/>
        <family val="1"/>
      </rPr>
      <t>ATMF VII blok:
1. Kibertəhlükəsizlik +</t>
    </r>
    <r>
      <rPr>
        <sz val="10"/>
        <rFont val="Times New Roman"/>
        <family val="1"/>
      </rPr>
      <t xml:space="preserve">
2. Mobil telefonlarda informasiya təhlükəsizliyi
3. Kibertəhlükəsizliyin təmin edilməsi yolları</t>
    </r>
  </si>
  <si>
    <r>
      <rPr>
        <b/>
        <sz val="10"/>
        <rFont val="Times New Roman"/>
        <family val="1"/>
      </rPr>
      <t>ATMF VIII blok:</t>
    </r>
    <r>
      <rPr>
        <sz val="10"/>
        <rFont val="Times New Roman"/>
        <family val="1"/>
      </rPr>
      <t xml:space="preserve">
2. Verilənlərin strukturu və alqoritmlər
</t>
    </r>
    <r>
      <rPr>
        <b/>
        <sz val="10"/>
        <rFont val="Times New Roman"/>
        <family val="1"/>
      </rPr>
      <t>2. Veb proqramlaşdırma +</t>
    </r>
  </si>
  <si>
    <r>
      <rPr>
        <b/>
        <sz val="10"/>
        <rFont val="Times New Roman"/>
        <family val="1"/>
      </rPr>
      <t>ATMF IX blok:
1. Veb proqramlaşdırma</t>
    </r>
    <r>
      <rPr>
        <sz val="10"/>
        <rFont val="Times New Roman"/>
        <family val="1"/>
      </rPr>
      <t xml:space="preserve">
2. Rəqəmsal sistemlər</t>
    </r>
  </si>
  <si>
    <r>
      <t xml:space="preserve">ATMF VIII blok:
</t>
    </r>
    <r>
      <rPr>
        <sz val="10"/>
        <rFont val="Times New Roman"/>
        <family val="1"/>
      </rPr>
      <t>1.Qraflar  nəzəriyyəsi
2</t>
    </r>
    <r>
      <rPr>
        <b/>
        <sz val="10"/>
        <rFont val="Times New Roman"/>
        <family val="1"/>
      </rPr>
      <t>. Mobil və simsiz avadanlıqların təhlükəsizliyi +</t>
    </r>
  </si>
  <si>
    <r>
      <t xml:space="preserve">ATMF VIII blok:
</t>
    </r>
    <r>
      <rPr>
        <sz val="10"/>
        <rFont val="Times New Roman"/>
        <family val="1"/>
      </rPr>
      <t xml:space="preserve">1.Qraflar  nəzəriyyəsi
</t>
    </r>
    <r>
      <rPr>
        <b/>
        <sz val="10"/>
        <rFont val="Times New Roman"/>
        <family val="1"/>
      </rPr>
      <t>2. Mobil və simsiz avadanlıqların təhlükəsizliyi +</t>
    </r>
  </si>
  <si>
    <r>
      <t xml:space="preserve">ATMF X blok:
1.Tətbiqi statistika və data analitikası 
</t>
    </r>
    <r>
      <rPr>
        <sz val="10"/>
        <rFont val="Times New Roman"/>
        <family val="1"/>
      </rPr>
      <t>2. Paralel və paylanmış hesablamalar</t>
    </r>
  </si>
  <si>
    <r>
      <rPr>
        <b/>
        <sz val="10"/>
        <rFont val="Times New Roman"/>
        <family val="1"/>
      </rPr>
      <t>ATMF X blok:
1. Desktop tətbiqlərinin hazırlanması+</t>
    </r>
    <r>
      <rPr>
        <sz val="10"/>
        <rFont val="Times New Roman"/>
        <family val="1"/>
      </rPr>
      <t xml:space="preserve">
2.Lazer və onun istifadəsi</t>
    </r>
  </si>
  <si>
    <r>
      <rPr>
        <b/>
        <sz val="10"/>
        <rFont val="Times New Roman"/>
        <family val="1"/>
      </rPr>
      <t>ATMF XVI blok:
1. İnternet texnologiyaları +</t>
    </r>
    <r>
      <rPr>
        <sz val="10"/>
        <rFont val="Times New Roman"/>
        <family val="1"/>
      </rPr>
      <t xml:space="preserve">
2. Sənaye istehsalının menecmenti</t>
    </r>
  </si>
  <si>
    <r>
      <t xml:space="preserve">ATMF XI blok:
</t>
    </r>
    <r>
      <rPr>
        <b/>
        <sz val="10"/>
        <rFont val="Times New Roman"/>
        <family val="1"/>
      </rPr>
      <t>1.İnternet texnologiyaları</t>
    </r>
    <r>
      <rPr>
        <sz val="10"/>
        <rFont val="Times New Roman"/>
        <family val="1"/>
      </rPr>
      <t xml:space="preserve">
2. Struktur proqramlaşdırma</t>
    </r>
  </si>
  <si>
    <r>
      <t xml:space="preserve">ATMF XIII  blok: 
1.Rəqəmsal transformasiya
</t>
    </r>
    <r>
      <rPr>
        <b/>
        <sz val="10"/>
        <rFont val="Times New Roman"/>
        <family val="1"/>
      </rPr>
      <t>2.Korporativ şəbəkə (informasiya) sistemlərinin təhlükəsizliyi</t>
    </r>
    <r>
      <rPr>
        <sz val="10"/>
        <rFont val="Times New Roman"/>
        <family val="1"/>
      </rPr>
      <t xml:space="preserve">
</t>
    </r>
  </si>
  <si>
    <r>
      <rPr>
        <b/>
        <sz val="10"/>
        <rFont val="Times New Roman"/>
        <family val="1"/>
      </rPr>
      <t>ATMF XIV blok:</t>
    </r>
    <r>
      <rPr>
        <sz val="10"/>
        <rFont val="Times New Roman"/>
        <family val="1"/>
      </rPr>
      <t xml:space="preserve">
1. Data analitikası və Machine Learning
</t>
    </r>
    <r>
      <rPr>
        <b/>
        <sz val="10"/>
        <rFont val="Times New Roman"/>
        <family val="1"/>
      </rPr>
      <t>2. Obyektyönlü proqramlaşdırma+</t>
    </r>
  </si>
  <si>
    <r>
      <t xml:space="preserve">ATMF XIV blok:
</t>
    </r>
    <r>
      <rPr>
        <b/>
        <sz val="10"/>
        <rFont val="Times New Roman"/>
        <family val="1"/>
      </rPr>
      <t>1. İnternet texnologiyaları</t>
    </r>
    <r>
      <rPr>
        <sz val="10"/>
        <rFont val="Times New Roman"/>
        <family val="1"/>
      </rPr>
      <t xml:space="preserve">
2. Struktur proqramlaşdırma</t>
    </r>
  </si>
  <si>
    <r>
      <t xml:space="preserve">ATMF IX blok:
</t>
    </r>
    <r>
      <rPr>
        <b/>
        <sz val="10"/>
        <rFont val="Times New Roman"/>
        <family val="1"/>
      </rPr>
      <t>1. Mobil qurğular üçün proqramlaşdırma</t>
    </r>
    <r>
      <rPr>
        <sz val="10"/>
        <rFont val="Times New Roman"/>
        <family val="1"/>
      </rPr>
      <t xml:space="preserve">
2. Veb proqramlaşdırma </t>
    </r>
  </si>
  <si>
    <r>
      <rPr>
        <b/>
        <sz val="10"/>
        <rFont val="Times New Roman"/>
        <family val="1"/>
      </rPr>
      <t>ATMF VI blok:</t>
    </r>
    <r>
      <rPr>
        <sz val="10"/>
        <rFont val="Times New Roman"/>
        <family val="1"/>
      </rPr>
      <t xml:space="preserve">
1. Verilənlər bazası idarəetmə sistemləri
2. Mikroservislər arxitekturası
</t>
    </r>
    <r>
      <rPr>
        <b/>
        <sz val="10"/>
        <rFont val="Times New Roman"/>
        <family val="1"/>
      </rPr>
      <t>3. Kiber risklərin idarə edilməsi +</t>
    </r>
  </si>
  <si>
    <t xml:space="preserve">MEHRAN </t>
  </si>
  <si>
    <t>SEYMUR</t>
  </si>
  <si>
    <t>KAMRAN İ-LEYLA</t>
  </si>
  <si>
    <t>İRİNA</t>
  </si>
  <si>
    <t>RAMILƏ</t>
  </si>
  <si>
    <t>RAMİLƏ</t>
  </si>
  <si>
    <t>AYDIN</t>
  </si>
  <si>
    <t xml:space="preserve"> ELVİN</t>
  </si>
  <si>
    <t>25  40</t>
  </si>
  <si>
    <t>AYDIN-GÜNEL</t>
  </si>
  <si>
    <t>KAMRAN I</t>
  </si>
  <si>
    <t>235 K ing 235 IT ing</t>
  </si>
  <si>
    <t>Komp.müh  İnform.tex</t>
  </si>
  <si>
    <t>34   29</t>
  </si>
  <si>
    <t>7
49</t>
  </si>
  <si>
    <t>28
38</t>
  </si>
  <si>
    <t>235 K     235 İT</t>
  </si>
  <si>
    <t>Komp.müh İnform.tex</t>
  </si>
  <si>
    <t>235 K    235 İT</t>
  </si>
  <si>
    <t>24
20</t>
  </si>
  <si>
    <t>40
19</t>
  </si>
  <si>
    <t>233 K
233 İT 233KE</t>
  </si>
  <si>
    <t>Komp.müh
İnf orm.tex Komp.elm</t>
  </si>
  <si>
    <t>21
17  13</t>
  </si>
  <si>
    <t>Komp.müh
İnform.tex Komp.elm</t>
  </si>
  <si>
    <t>8
13    8</t>
  </si>
  <si>
    <t>ELVİN-LEYLA</t>
  </si>
  <si>
    <t>233 K ing 233 İT ing 233 KE ing</t>
  </si>
  <si>
    <t>235 K ing 235 İT ing</t>
  </si>
  <si>
    <t>MİNAYƏ</t>
  </si>
  <si>
    <t>AYDIN-MİNAYƏ</t>
  </si>
  <si>
    <t>KAMRAN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</si>
</sst>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1" fillId="0" borderId="2" xfId="0" applyFont="1" applyBorder="1" applyAlignment="1">
      <alignment horizontal="centerContinuous" vertical="center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3" borderId="15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wrapText="1"/>
    </xf>
    <xf numFmtId="0" fontId="1" fillId="3" borderId="16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vertical="center" wrapText="1"/>
    </xf>
    <xf numFmtId="0" fontId="1" fillId="5" borderId="15" xfId="0" applyFont="1" applyFill="1" applyBorder="1" applyAlignment="1">
      <alignment vertical="center" wrapText="1"/>
    </xf>
    <xf numFmtId="0" fontId="1" fillId="5" borderId="16" xfId="0" applyFont="1" applyFill="1" applyBorder="1" applyAlignment="1">
      <alignment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vertical="center" wrapText="1"/>
    </xf>
    <xf numFmtId="0" fontId="1" fillId="3" borderId="15" xfId="0" applyFont="1" applyFill="1" applyBorder="1"/>
    <xf numFmtId="0" fontId="1" fillId="3" borderId="1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 wrapText="1"/>
    </xf>
    <xf numFmtId="0" fontId="1" fillId="0" borderId="4" xfId="0" applyFont="1" applyBorder="1" applyAlignment="1">
      <alignment horizontal="centerContinuous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Continuous" vertical="center"/>
    </xf>
    <xf numFmtId="0" fontId="1" fillId="0" borderId="8" xfId="0" applyFont="1" applyBorder="1" applyAlignment="1">
      <alignment horizontal="center" vertical="center" textRotation="90"/>
    </xf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6" fillId="0" borderId="30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6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27" xfId="0" applyFont="1" applyBorder="1" applyAlignment="1">
      <alignment horizontal="center" vertical="center" wrapText="1"/>
    </xf>
    <xf numFmtId="0" fontId="1" fillId="3" borderId="23" xfId="0" applyFont="1" applyFill="1" applyBorder="1" applyAlignment="1">
      <alignment vertical="center" wrapText="1"/>
    </xf>
    <xf numFmtId="0" fontId="1" fillId="3" borderId="26" xfId="0" applyFont="1" applyFill="1" applyBorder="1" applyAlignment="1">
      <alignment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7" fillId="0" borderId="3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3" borderId="1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horizontal="center"/>
    </xf>
    <xf numFmtId="0" fontId="7" fillId="6" borderId="31" xfId="0" applyFont="1" applyFill="1" applyBorder="1" applyAlignment="1">
      <alignment horizontal="center"/>
    </xf>
    <xf numFmtId="0" fontId="7" fillId="7" borderId="32" xfId="0" applyFont="1" applyFill="1" applyBorder="1" applyAlignment="1">
      <alignment horizontal="center"/>
    </xf>
    <xf numFmtId="0" fontId="12" fillId="0" borderId="0" xfId="0" applyFont="1"/>
    <xf numFmtId="0" fontId="2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/>
    </xf>
    <xf numFmtId="0" fontId="1" fillId="3" borderId="17" xfId="0" applyFont="1" applyFill="1" applyBorder="1" applyAlignment="1">
      <alignment horizontal="left" vertical="center" wrapText="1"/>
    </xf>
    <xf numFmtId="0" fontId="1" fillId="3" borderId="2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vertical="center" wrapText="1"/>
    </xf>
    <xf numFmtId="0" fontId="1" fillId="5" borderId="17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wrapText="1"/>
    </xf>
    <xf numFmtId="0" fontId="1" fillId="3" borderId="27" xfId="0" applyFont="1" applyFill="1" applyBorder="1" applyAlignment="1">
      <alignment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5" borderId="16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50" xfId="0" applyFont="1" applyFill="1" applyBorder="1" applyAlignment="1">
      <alignment vertical="center" wrapText="1"/>
    </xf>
    <xf numFmtId="0" fontId="1" fillId="3" borderId="52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vertical="center" wrapText="1"/>
    </xf>
    <xf numFmtId="0" fontId="1" fillId="3" borderId="46" xfId="0" applyFont="1" applyFill="1" applyBorder="1" applyAlignment="1">
      <alignment wrapText="1"/>
    </xf>
    <xf numFmtId="0" fontId="1" fillId="3" borderId="42" xfId="0" applyFont="1" applyFill="1" applyBorder="1" applyAlignment="1">
      <alignment vertical="center" wrapText="1"/>
    </xf>
    <xf numFmtId="0" fontId="1" fillId="3" borderId="57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1" fillId="0" borderId="15" xfId="0" applyFont="1" applyBorder="1"/>
    <xf numFmtId="0" fontId="10" fillId="0" borderId="16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5" xfId="0" applyFont="1" applyFill="1" applyBorder="1"/>
    <xf numFmtId="0" fontId="3" fillId="2" borderId="16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wrapText="1"/>
    </xf>
    <xf numFmtId="0" fontId="3" fillId="2" borderId="15" xfId="0" applyFont="1" applyFill="1" applyBorder="1" applyAlignment="1">
      <alignment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wrapText="1"/>
    </xf>
    <xf numFmtId="0" fontId="3" fillId="2" borderId="27" xfId="0" applyFont="1" applyFill="1" applyBorder="1" applyAlignment="1">
      <alignment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left" vertical="center" wrapText="1"/>
    </xf>
    <xf numFmtId="0" fontId="3" fillId="6" borderId="15" xfId="0" applyFont="1" applyFill="1" applyBorder="1" applyAlignment="1">
      <alignment vertical="center"/>
    </xf>
    <xf numFmtId="0" fontId="3" fillId="6" borderId="16" xfId="0" applyFont="1" applyFill="1" applyBorder="1" applyAlignment="1">
      <alignment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 wrapText="1"/>
    </xf>
    <xf numFmtId="0" fontId="3" fillId="6" borderId="15" xfId="0" applyFont="1" applyFill="1" applyBorder="1" applyAlignment="1">
      <alignment wrapText="1"/>
    </xf>
    <xf numFmtId="0" fontId="3" fillId="0" borderId="32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textRotation="90" wrapText="1"/>
    </xf>
    <xf numFmtId="0" fontId="4" fillId="2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wrapText="1"/>
    </xf>
    <xf numFmtId="0" fontId="5" fillId="0" borderId="15" xfId="0" applyFont="1" applyBorder="1" applyAlignment="1">
      <alignment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5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1" fillId="3" borderId="15" xfId="0" quotePrefix="1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1" fillId="5" borderId="15" xfId="0" quotePrefix="1" applyFont="1" applyFill="1" applyBorder="1" applyAlignment="1">
      <alignment vertical="center" wrapText="1"/>
    </xf>
    <xf numFmtId="0" fontId="1" fillId="0" borderId="23" xfId="0" quotePrefix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5" xfId="0" applyFont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9" xfId="0" applyFont="1" applyBorder="1" applyAlignment="1">
      <alignment vertical="center"/>
    </xf>
    <xf numFmtId="0" fontId="5" fillId="0" borderId="15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3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1" fillId="0" borderId="23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" fillId="0" borderId="35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56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 wrapText="1"/>
    </xf>
    <xf numFmtId="0" fontId="1" fillId="0" borderId="15" xfId="0" quotePrefix="1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23" xfId="0" quotePrefix="1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vertical="center" wrapText="1"/>
    </xf>
    <xf numFmtId="0" fontId="1" fillId="0" borderId="21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/>
    </xf>
    <xf numFmtId="0" fontId="1" fillId="0" borderId="31" xfId="0" applyFont="1" applyFill="1" applyBorder="1" applyAlignment="1">
      <alignment vertical="center" wrapText="1"/>
    </xf>
    <xf numFmtId="0" fontId="2" fillId="0" borderId="16" xfId="0" applyFont="1" applyFill="1" applyBorder="1" applyAlignment="1">
      <alignment horizontal="center" vertical="center"/>
    </xf>
    <xf numFmtId="0" fontId="1" fillId="0" borderId="23" xfId="0" quotePrefix="1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vertical="center" wrapText="1"/>
    </xf>
    <xf numFmtId="0" fontId="1" fillId="0" borderId="5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4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textRotation="90" wrapText="1"/>
    </xf>
    <xf numFmtId="0" fontId="3" fillId="8" borderId="7" xfId="0" applyFont="1" applyFill="1" applyBorder="1" applyAlignment="1">
      <alignment horizontal="center" vertical="center" textRotation="90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textRotation="90" wrapText="1"/>
    </xf>
    <xf numFmtId="0" fontId="3" fillId="8" borderId="8" xfId="0" applyFont="1" applyFill="1" applyBorder="1" applyAlignment="1">
      <alignment horizontal="center" vertical="center" textRotation="90" wrapText="1"/>
    </xf>
    <xf numFmtId="0" fontId="4" fillId="8" borderId="6" xfId="0" applyFont="1" applyFill="1" applyBorder="1" applyAlignment="1">
      <alignment horizontal="center" vertical="center" textRotation="90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" fillId="8" borderId="1" xfId="0" quotePrefix="1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8" borderId="1" xfId="0" quotePrefix="1" applyFont="1" applyFill="1" applyBorder="1" applyAlignment="1">
      <alignment horizontal="left" vertical="center" wrapText="1"/>
    </xf>
    <xf numFmtId="0" fontId="3" fillId="8" borderId="23" xfId="0" applyFont="1" applyFill="1" applyBorder="1" applyAlignment="1">
      <alignment horizontal="left" vertical="center" wrapText="1"/>
    </xf>
    <xf numFmtId="0" fontId="3" fillId="8" borderId="15" xfId="0" applyFont="1" applyFill="1" applyBorder="1" applyAlignment="1">
      <alignment vertical="center" wrapText="1"/>
    </xf>
    <xf numFmtId="0" fontId="3" fillId="8" borderId="16" xfId="0" applyFont="1" applyFill="1" applyBorder="1" applyAlignment="1">
      <alignment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 wrapText="1"/>
    </xf>
    <xf numFmtId="0" fontId="3" fillId="8" borderId="23" xfId="0" quotePrefix="1" applyFont="1" applyFill="1" applyBorder="1" applyAlignment="1">
      <alignment vertical="center" wrapText="1"/>
    </xf>
    <xf numFmtId="0" fontId="3" fillId="8" borderId="19" xfId="0" applyFont="1" applyFill="1" applyBorder="1" applyAlignment="1">
      <alignment vertical="center" wrapText="1"/>
    </xf>
    <xf numFmtId="0" fontId="3" fillId="8" borderId="15" xfId="0" quotePrefix="1" applyFont="1" applyFill="1" applyBorder="1" applyAlignment="1">
      <alignment vertical="center" wrapText="1"/>
    </xf>
    <xf numFmtId="0" fontId="3" fillId="8" borderId="3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0" fontId="3" fillId="8" borderId="23" xfId="0" applyFont="1" applyFill="1" applyBorder="1" applyAlignment="1">
      <alignment vertical="center" wrapText="1"/>
    </xf>
    <xf numFmtId="0" fontId="4" fillId="8" borderId="15" xfId="0" applyFont="1" applyFill="1" applyBorder="1" applyAlignment="1">
      <alignment vertical="center" wrapText="1"/>
    </xf>
    <xf numFmtId="0" fontId="3" fillId="8" borderId="36" xfId="0" applyFont="1" applyFill="1" applyBorder="1" applyAlignment="1">
      <alignment vertical="center" wrapText="1"/>
    </xf>
    <xf numFmtId="0" fontId="3" fillId="8" borderId="15" xfId="0" applyFont="1" applyFill="1" applyBorder="1" applyAlignment="1">
      <alignment wrapText="1"/>
    </xf>
    <xf numFmtId="0" fontId="3" fillId="8" borderId="24" xfId="0" applyFont="1" applyFill="1" applyBorder="1" applyAlignment="1">
      <alignment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4" xfId="0" applyFont="1" applyFill="1" applyBorder="1" applyAlignment="1">
      <alignment vertical="center" wrapText="1"/>
    </xf>
    <xf numFmtId="0" fontId="3" fillId="8" borderId="15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vertical="center" wrapText="1"/>
    </xf>
    <xf numFmtId="0" fontId="3" fillId="8" borderId="55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wrapText="1"/>
    </xf>
    <xf numFmtId="0" fontId="3" fillId="8" borderId="0" xfId="0" applyFont="1" applyFill="1" applyAlignment="1">
      <alignment horizontal="center" vertical="center" wrapText="1"/>
    </xf>
    <xf numFmtId="0" fontId="3" fillId="8" borderId="41" xfId="0" applyFont="1" applyFill="1" applyBorder="1" applyAlignment="1">
      <alignment vertical="center" wrapText="1"/>
    </xf>
    <xf numFmtId="0" fontId="3" fillId="8" borderId="46" xfId="0" applyFont="1" applyFill="1" applyBorder="1" applyAlignment="1">
      <alignment vertical="center" wrapText="1"/>
    </xf>
    <xf numFmtId="0" fontId="3" fillId="8" borderId="42" xfId="0" applyFont="1" applyFill="1" applyBorder="1" applyAlignment="1">
      <alignment vertical="center" wrapText="1"/>
    </xf>
    <xf numFmtId="0" fontId="3" fillId="8" borderId="43" xfId="0" applyFont="1" applyFill="1" applyBorder="1" applyAlignment="1">
      <alignment horizontal="center" vertical="center" wrapText="1"/>
    </xf>
    <xf numFmtId="0" fontId="3" fillId="8" borderId="42" xfId="0" applyFont="1" applyFill="1" applyBorder="1" applyAlignment="1">
      <alignment horizontal="center" vertical="center"/>
    </xf>
    <xf numFmtId="0" fontId="3" fillId="8" borderId="48" xfId="0" applyFont="1" applyFill="1" applyBorder="1" applyAlignment="1">
      <alignment horizontal="center" vertical="center"/>
    </xf>
    <xf numFmtId="0" fontId="3" fillId="8" borderId="47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8" borderId="15" xfId="0" applyFont="1" applyFill="1" applyBorder="1"/>
    <xf numFmtId="0" fontId="3" fillId="8" borderId="1" xfId="0" applyFont="1" applyFill="1" applyBorder="1"/>
    <xf numFmtId="0" fontId="3" fillId="8" borderId="24" xfId="0" applyFont="1" applyFill="1" applyBorder="1"/>
    <xf numFmtId="0" fontId="3" fillId="8" borderId="34" xfId="0" applyFont="1" applyFill="1" applyBorder="1" applyAlignment="1">
      <alignment wrapText="1"/>
    </xf>
    <xf numFmtId="0" fontId="3" fillId="8" borderId="36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left" vertical="center"/>
    </xf>
    <xf numFmtId="0" fontId="1" fillId="9" borderId="0" xfId="0" applyFont="1" applyFill="1"/>
    <xf numFmtId="0" fontId="1" fillId="10" borderId="0" xfId="0" applyFont="1" applyFill="1"/>
    <xf numFmtId="0" fontId="10" fillId="0" borderId="3" xfId="0" applyFont="1" applyBorder="1" applyAlignment="1">
      <alignment horizontal="center" vertical="center" textRotation="90" wrapText="1"/>
    </xf>
    <xf numFmtId="0" fontId="10" fillId="0" borderId="7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textRotation="90" wrapText="1"/>
    </xf>
    <xf numFmtId="0" fontId="10" fillId="0" borderId="9" xfId="0" applyFont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textRotation="90" wrapText="1"/>
    </xf>
    <xf numFmtId="0" fontId="10" fillId="0" borderId="8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left"/>
    </xf>
    <xf numFmtId="0" fontId="7" fillId="6" borderId="2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6" borderId="19" xfId="0" applyFont="1" applyFill="1" applyBorder="1" applyAlignment="1">
      <alignment horizontal="left"/>
    </xf>
    <xf numFmtId="0" fontId="7" fillId="7" borderId="6" xfId="0" applyFont="1" applyFill="1" applyBorder="1" applyAlignment="1">
      <alignment horizontal="left"/>
    </xf>
    <xf numFmtId="0" fontId="7" fillId="7" borderId="7" xfId="0" applyFont="1" applyFill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textRotation="90" wrapText="1"/>
    </xf>
    <xf numFmtId="0" fontId="1" fillId="0" borderId="6" xfId="0" applyFont="1" applyBorder="1" applyAlignment="1">
      <alignment vertical="center" textRotation="90" wrapText="1"/>
    </xf>
    <xf numFmtId="0" fontId="1" fillId="0" borderId="2" xfId="0" applyFont="1" applyBorder="1" applyAlignment="1">
      <alignment horizontal="left" vertical="center" textRotation="90" wrapText="1"/>
    </xf>
    <xf numFmtId="0" fontId="1" fillId="0" borderId="6" xfId="0" applyFont="1" applyBorder="1" applyAlignment="1">
      <alignment horizontal="left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2"/>
  <sheetViews>
    <sheetView topLeftCell="A4" zoomScale="160" zoomScaleNormal="160" workbookViewId="0">
      <selection activeCell="T16" sqref="T16"/>
    </sheetView>
  </sheetViews>
  <sheetFormatPr defaultColWidth="9.140625" defaultRowHeight="12.75"/>
  <cols>
    <col min="1" max="1" width="7.7109375" style="3" customWidth="1"/>
    <col min="2" max="2" width="9.140625" style="4"/>
    <col min="3" max="3" width="28.7109375" style="4" customWidth="1"/>
    <col min="4" max="4" width="10.7109375" style="4" customWidth="1"/>
    <col min="5" max="8" width="4.7109375" style="1" customWidth="1"/>
    <col min="9" max="9" width="4.7109375" style="70" customWidth="1"/>
    <col min="10" max="10" width="4.7109375" style="1" customWidth="1"/>
    <col min="11" max="11" width="4.7109375" style="70" customWidth="1"/>
    <col min="12" max="12" width="4.7109375" style="1" customWidth="1"/>
    <col min="13" max="13" width="4.7109375" style="70" customWidth="1"/>
    <col min="14" max="15" width="4.7109375" style="1" customWidth="1"/>
    <col min="16" max="20" width="5.7109375" style="1" customWidth="1"/>
    <col min="21" max="21" width="3.7109375" style="1" customWidth="1"/>
    <col min="22" max="16384" width="9.140625" style="4"/>
  </cols>
  <sheetData>
    <row r="1" spans="1:21">
      <c r="B1" s="5" t="s">
        <v>0</v>
      </c>
      <c r="C1" s="6"/>
      <c r="I1" s="1"/>
      <c r="K1" s="1"/>
      <c r="M1" s="1"/>
    </row>
    <row r="2" spans="1:21">
      <c r="B2" s="5" t="s">
        <v>1</v>
      </c>
      <c r="C2" s="7"/>
      <c r="I2" s="1"/>
      <c r="K2" s="1"/>
      <c r="M2" s="1"/>
    </row>
    <row r="3" spans="1:21">
      <c r="B3" s="5" t="s">
        <v>2</v>
      </c>
      <c r="C3" s="6"/>
      <c r="I3" s="1"/>
      <c r="K3" s="1"/>
      <c r="M3" s="1"/>
    </row>
    <row r="4" spans="1:21">
      <c r="A4" s="8" t="s">
        <v>3</v>
      </c>
      <c r="B4" s="9"/>
      <c r="C4" s="6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>
      <c r="A5" s="8" t="s">
        <v>4</v>
      </c>
      <c r="B5" s="9"/>
      <c r="C5" s="6"/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8" t="s">
        <v>96</v>
      </c>
      <c r="B6" s="9"/>
      <c r="C6" s="9"/>
      <c r="D6" s="9"/>
      <c r="E6" s="6"/>
      <c r="F6" s="6"/>
      <c r="G6" s="6"/>
      <c r="H6" s="6"/>
      <c r="I6" s="84"/>
      <c r="J6" s="6"/>
      <c r="K6" s="84"/>
      <c r="L6" s="6"/>
      <c r="M6" s="84"/>
      <c r="N6" s="6"/>
      <c r="O6" s="6"/>
      <c r="P6" s="6"/>
      <c r="Q6" s="6"/>
      <c r="R6" s="6"/>
      <c r="S6" s="6"/>
      <c r="T6" s="6"/>
      <c r="U6" s="6"/>
    </row>
    <row r="7" spans="1:21">
      <c r="A7" s="8" t="s">
        <v>5</v>
      </c>
      <c r="B7" s="9"/>
      <c r="C7" s="9"/>
      <c r="D7" s="9"/>
      <c r="E7" s="6"/>
      <c r="F7" s="6"/>
      <c r="G7" s="6"/>
      <c r="H7" s="6"/>
      <c r="I7" s="84"/>
      <c r="J7" s="6"/>
      <c r="K7" s="84"/>
      <c r="L7" s="6"/>
      <c r="M7" s="84"/>
      <c r="N7" s="6"/>
      <c r="O7" s="6"/>
      <c r="P7" s="6"/>
      <c r="Q7" s="6"/>
      <c r="R7" s="6"/>
      <c r="S7" s="6"/>
      <c r="T7" s="6"/>
      <c r="U7" s="6"/>
    </row>
    <row r="9" spans="1:21" ht="24" customHeight="1">
      <c r="A9" s="408" t="s">
        <v>6</v>
      </c>
      <c r="B9" s="380" t="s">
        <v>7</v>
      </c>
      <c r="C9" s="410" t="s">
        <v>8</v>
      </c>
      <c r="D9" s="388" t="s">
        <v>9</v>
      </c>
      <c r="E9" s="390" t="s">
        <v>10</v>
      </c>
      <c r="F9" s="392" t="s">
        <v>11</v>
      </c>
      <c r="G9" s="394" t="s">
        <v>12</v>
      </c>
      <c r="H9" s="10" t="s">
        <v>13</v>
      </c>
      <c r="I9" s="73"/>
      <c r="J9" s="37" t="s">
        <v>14</v>
      </c>
      <c r="K9" s="73"/>
      <c r="L9" s="37" t="s">
        <v>15</v>
      </c>
      <c r="M9" s="74"/>
      <c r="N9" s="392" t="s">
        <v>16</v>
      </c>
      <c r="O9" s="380" t="s">
        <v>17</v>
      </c>
      <c r="P9" s="382" t="s">
        <v>18</v>
      </c>
      <c r="Q9" s="382" t="s">
        <v>19</v>
      </c>
      <c r="R9" s="45" t="s">
        <v>20</v>
      </c>
      <c r="S9" s="36"/>
      <c r="T9" s="384" t="s">
        <v>21</v>
      </c>
      <c r="U9" s="386" t="s">
        <v>22</v>
      </c>
    </row>
    <row r="10" spans="1:21" s="1" customFormat="1" ht="87.75" customHeight="1">
      <c r="A10" s="409"/>
      <c r="B10" s="381"/>
      <c r="C10" s="411"/>
      <c r="D10" s="389"/>
      <c r="E10" s="391"/>
      <c r="F10" s="393"/>
      <c r="G10" s="395"/>
      <c r="H10" s="146" t="s">
        <v>23</v>
      </c>
      <c r="I10" s="192" t="s">
        <v>24</v>
      </c>
      <c r="J10" s="146" t="s">
        <v>23</v>
      </c>
      <c r="K10" s="192" t="s">
        <v>24</v>
      </c>
      <c r="L10" s="146" t="s">
        <v>23</v>
      </c>
      <c r="M10" s="192" t="s">
        <v>24</v>
      </c>
      <c r="N10" s="393"/>
      <c r="O10" s="381"/>
      <c r="P10" s="383"/>
      <c r="Q10" s="383"/>
      <c r="R10" s="12" t="s">
        <v>25</v>
      </c>
      <c r="S10" s="46" t="s">
        <v>26</v>
      </c>
      <c r="T10" s="385"/>
      <c r="U10" s="387"/>
    </row>
    <row r="11" spans="1:21" s="2" customFormat="1">
      <c r="A11" s="147">
        <v>1</v>
      </c>
      <c r="B11" s="148">
        <v>2</v>
      </c>
      <c r="C11" s="148">
        <v>3</v>
      </c>
      <c r="D11" s="149">
        <v>4</v>
      </c>
      <c r="E11" s="150">
        <v>5</v>
      </c>
      <c r="F11" s="151">
        <v>6</v>
      </c>
      <c r="G11" s="149">
        <v>7</v>
      </c>
      <c r="H11" s="18">
        <v>8</v>
      </c>
      <c r="I11" s="39">
        <v>9</v>
      </c>
      <c r="J11" s="18">
        <v>10</v>
      </c>
      <c r="K11" s="39">
        <v>11</v>
      </c>
      <c r="L11" s="18">
        <v>12</v>
      </c>
      <c r="M11" s="39">
        <v>13</v>
      </c>
      <c r="N11" s="151">
        <v>14</v>
      </c>
      <c r="O11" s="148">
        <v>15</v>
      </c>
      <c r="P11" s="40">
        <v>16</v>
      </c>
      <c r="Q11" s="40">
        <v>17</v>
      </c>
      <c r="R11" s="40">
        <v>18</v>
      </c>
      <c r="S11" s="39">
        <v>19</v>
      </c>
      <c r="T11" s="18">
        <v>20</v>
      </c>
      <c r="U11" s="39">
        <v>21</v>
      </c>
    </row>
    <row r="12" spans="1:21" ht="14.1" customHeight="1">
      <c r="A12" s="152"/>
      <c r="B12" s="153"/>
      <c r="C12" s="154"/>
      <c r="D12" s="155"/>
      <c r="E12" s="156"/>
      <c r="F12" s="157"/>
      <c r="G12" s="135"/>
      <c r="H12" s="136"/>
      <c r="I12" s="141"/>
      <c r="J12" s="136"/>
      <c r="K12" s="141"/>
      <c r="L12" s="136"/>
      <c r="M12" s="141"/>
      <c r="N12" s="136"/>
      <c r="O12" s="142"/>
      <c r="P12" s="142"/>
      <c r="Q12" s="142"/>
      <c r="R12" s="142"/>
      <c r="S12" s="144"/>
      <c r="T12" s="136">
        <f t="shared" ref="T12:T36" si="0">(I12+K12+M12+N12+O12+P12+Q12+R12+S12)</f>
        <v>0</v>
      </c>
      <c r="U12" s="144"/>
    </row>
    <row r="13" spans="1:21" ht="14.1" customHeight="1">
      <c r="A13" s="158" t="s">
        <v>27</v>
      </c>
      <c r="B13" s="159"/>
      <c r="C13" s="160"/>
      <c r="D13" s="161"/>
      <c r="E13" s="162"/>
      <c r="F13" s="163"/>
      <c r="G13" s="164"/>
      <c r="H13" s="165"/>
      <c r="I13" s="193"/>
      <c r="J13" s="165"/>
      <c r="K13" s="193"/>
      <c r="L13" s="165"/>
      <c r="M13" s="193"/>
      <c r="N13" s="165"/>
      <c r="O13" s="194"/>
      <c r="P13" s="194"/>
      <c r="Q13" s="194"/>
      <c r="R13" s="194"/>
      <c r="S13" s="201"/>
      <c r="T13" s="136">
        <f t="shared" si="0"/>
        <v>0</v>
      </c>
      <c r="U13" s="201"/>
    </row>
    <row r="14" spans="1:21" ht="14.1" customHeight="1">
      <c r="A14" s="158" t="s">
        <v>27</v>
      </c>
      <c r="B14" s="159"/>
      <c r="C14" s="160"/>
      <c r="D14" s="161"/>
      <c r="E14" s="162"/>
      <c r="F14" s="163"/>
      <c r="G14" s="164"/>
      <c r="H14" s="165"/>
      <c r="I14" s="193"/>
      <c r="J14" s="165"/>
      <c r="K14" s="193"/>
      <c r="L14" s="165"/>
      <c r="M14" s="193"/>
      <c r="N14" s="165"/>
      <c r="O14" s="194"/>
      <c r="P14" s="194"/>
      <c r="Q14" s="194"/>
      <c r="R14" s="194"/>
      <c r="S14" s="201"/>
      <c r="T14" s="136">
        <f t="shared" si="0"/>
        <v>0</v>
      </c>
      <c r="U14" s="201"/>
    </row>
    <row r="15" spans="1:21" ht="14.1" customHeight="1">
      <c r="A15" s="158" t="s">
        <v>27</v>
      </c>
      <c r="B15" s="159"/>
      <c r="C15" s="160"/>
      <c r="D15" s="161"/>
      <c r="E15" s="162"/>
      <c r="F15" s="163"/>
      <c r="G15" s="164"/>
      <c r="H15" s="165"/>
      <c r="I15" s="193"/>
      <c r="J15" s="165"/>
      <c r="K15" s="193"/>
      <c r="L15" s="165"/>
      <c r="M15" s="193"/>
      <c r="N15" s="165"/>
      <c r="O15" s="194"/>
      <c r="P15" s="194"/>
      <c r="Q15" s="194"/>
      <c r="R15" s="194"/>
      <c r="S15" s="201"/>
      <c r="T15" s="136">
        <f t="shared" si="0"/>
        <v>0</v>
      </c>
      <c r="U15" s="201"/>
    </row>
    <row r="16" spans="1:21" ht="14.1" customHeight="1">
      <c r="A16" s="158" t="s">
        <v>27</v>
      </c>
      <c r="B16" s="159"/>
      <c r="C16" s="160"/>
      <c r="D16" s="161"/>
      <c r="E16" s="162"/>
      <c r="F16" s="163"/>
      <c r="G16" s="164"/>
      <c r="H16" s="165"/>
      <c r="I16" s="193"/>
      <c r="J16" s="165"/>
      <c r="K16" s="193"/>
      <c r="L16" s="165"/>
      <c r="M16" s="193"/>
      <c r="N16" s="165"/>
      <c r="O16" s="194"/>
      <c r="P16" s="194"/>
      <c r="Q16" s="194"/>
      <c r="R16" s="194"/>
      <c r="S16" s="201"/>
      <c r="T16" s="136">
        <f t="shared" si="0"/>
        <v>0</v>
      </c>
      <c r="U16" s="201"/>
    </row>
    <row r="17" spans="1:21" ht="14.25" customHeight="1">
      <c r="A17" s="158" t="s">
        <v>27</v>
      </c>
      <c r="B17" s="159"/>
      <c r="C17" s="160"/>
      <c r="D17" s="161"/>
      <c r="E17" s="162"/>
      <c r="F17" s="163"/>
      <c r="G17" s="164"/>
      <c r="H17" s="165"/>
      <c r="I17" s="193"/>
      <c r="J17" s="165"/>
      <c r="K17" s="193"/>
      <c r="L17" s="165"/>
      <c r="M17" s="193"/>
      <c r="N17" s="165"/>
      <c r="O17" s="194"/>
      <c r="P17" s="194"/>
      <c r="Q17" s="194"/>
      <c r="R17" s="194"/>
      <c r="S17" s="201"/>
      <c r="T17" s="136">
        <f t="shared" si="0"/>
        <v>0</v>
      </c>
      <c r="U17" s="201"/>
    </row>
    <row r="18" spans="1:21" ht="14.1" customHeight="1">
      <c r="A18" s="158" t="s">
        <v>27</v>
      </c>
      <c r="B18" s="159"/>
      <c r="C18" s="160"/>
      <c r="D18" s="161"/>
      <c r="E18" s="162"/>
      <c r="F18" s="163"/>
      <c r="G18" s="164"/>
      <c r="H18" s="165"/>
      <c r="I18" s="193"/>
      <c r="J18" s="165"/>
      <c r="K18" s="193"/>
      <c r="L18" s="165"/>
      <c r="M18" s="193"/>
      <c r="N18" s="165"/>
      <c r="O18" s="194"/>
      <c r="P18" s="194"/>
      <c r="Q18" s="194"/>
      <c r="R18" s="194"/>
      <c r="S18" s="201"/>
      <c r="T18" s="136">
        <f t="shared" si="0"/>
        <v>0</v>
      </c>
      <c r="U18" s="201"/>
    </row>
    <row r="19" spans="1:21" ht="14.1" customHeight="1">
      <c r="A19" s="158" t="s">
        <v>27</v>
      </c>
      <c r="B19" s="159"/>
      <c r="C19" s="160"/>
      <c r="D19" s="161"/>
      <c r="E19" s="162"/>
      <c r="F19" s="163"/>
      <c r="G19" s="164"/>
      <c r="H19" s="165"/>
      <c r="I19" s="193"/>
      <c r="J19" s="165"/>
      <c r="K19" s="193"/>
      <c r="L19" s="165"/>
      <c r="M19" s="193"/>
      <c r="N19" s="165"/>
      <c r="O19" s="194"/>
      <c r="P19" s="194"/>
      <c r="Q19" s="194"/>
      <c r="R19" s="194"/>
      <c r="S19" s="202"/>
      <c r="T19" s="136">
        <f t="shared" si="0"/>
        <v>0</v>
      </c>
      <c r="U19" s="201"/>
    </row>
    <row r="20" spans="1:21" ht="38.25" customHeight="1">
      <c r="A20" s="158" t="s">
        <v>27</v>
      </c>
      <c r="B20" s="159"/>
      <c r="C20" s="166"/>
      <c r="D20" s="161"/>
      <c r="E20" s="162"/>
      <c r="F20" s="163"/>
      <c r="G20" s="164"/>
      <c r="H20" s="165"/>
      <c r="I20" s="193"/>
      <c r="J20" s="165"/>
      <c r="K20" s="193"/>
      <c r="L20" s="165"/>
      <c r="M20" s="193"/>
      <c r="N20" s="165"/>
      <c r="O20" s="194"/>
      <c r="P20" s="194"/>
      <c r="Q20" s="194"/>
      <c r="R20" s="194"/>
      <c r="S20" s="202"/>
      <c r="T20" s="136">
        <f t="shared" si="0"/>
        <v>0</v>
      </c>
      <c r="U20" s="201"/>
    </row>
    <row r="21" spans="1:21" ht="42" customHeight="1">
      <c r="A21" s="158" t="s">
        <v>27</v>
      </c>
      <c r="B21" s="159"/>
      <c r="C21" s="166"/>
      <c r="D21" s="161"/>
      <c r="E21" s="162"/>
      <c r="F21" s="163"/>
      <c r="G21" s="164"/>
      <c r="H21" s="165"/>
      <c r="I21" s="193"/>
      <c r="J21" s="165"/>
      <c r="K21" s="193"/>
      <c r="L21" s="165"/>
      <c r="M21" s="193"/>
      <c r="N21" s="165"/>
      <c r="O21" s="194"/>
      <c r="P21" s="194"/>
      <c r="Q21" s="194"/>
      <c r="R21" s="194"/>
      <c r="S21" s="202"/>
      <c r="T21" s="136">
        <f t="shared" si="0"/>
        <v>0</v>
      </c>
      <c r="U21" s="201"/>
    </row>
    <row r="22" spans="1:21" ht="15.75" customHeight="1">
      <c r="A22" s="158" t="s">
        <v>27</v>
      </c>
      <c r="B22" s="159"/>
      <c r="C22" s="167"/>
      <c r="D22" s="161"/>
      <c r="E22" s="162"/>
      <c r="F22" s="163"/>
      <c r="G22" s="164"/>
      <c r="H22" s="165"/>
      <c r="I22" s="193"/>
      <c r="J22" s="165"/>
      <c r="K22" s="193"/>
      <c r="L22" s="165"/>
      <c r="M22" s="193"/>
      <c r="N22" s="165"/>
      <c r="O22" s="194"/>
      <c r="P22" s="194"/>
      <c r="Q22" s="194"/>
      <c r="R22" s="194"/>
      <c r="S22" s="202"/>
      <c r="T22" s="136">
        <f t="shared" si="0"/>
        <v>0</v>
      </c>
      <c r="U22" s="201"/>
    </row>
    <row r="23" spans="1:21" ht="39" customHeight="1">
      <c r="A23" s="168" t="s">
        <v>27</v>
      </c>
      <c r="B23" s="169"/>
      <c r="C23" s="170"/>
      <c r="D23" s="171"/>
      <c r="E23" s="172"/>
      <c r="F23" s="173"/>
      <c r="G23" s="174"/>
      <c r="H23" s="175"/>
      <c r="I23" s="195"/>
      <c r="J23" s="175"/>
      <c r="K23" s="195"/>
      <c r="L23" s="175"/>
      <c r="M23" s="195"/>
      <c r="N23" s="175"/>
      <c r="O23" s="196"/>
      <c r="P23" s="196"/>
      <c r="Q23" s="196"/>
      <c r="R23" s="196"/>
      <c r="S23" s="203"/>
      <c r="T23" s="136">
        <f t="shared" si="0"/>
        <v>0</v>
      </c>
      <c r="U23" s="204"/>
    </row>
    <row r="24" spans="1:21" ht="25.5" customHeight="1">
      <c r="A24" s="176" t="s">
        <v>36</v>
      </c>
      <c r="B24" s="177"/>
      <c r="C24" s="178"/>
      <c r="D24" s="179"/>
      <c r="E24" s="180"/>
      <c r="F24" s="181"/>
      <c r="G24" s="182"/>
      <c r="H24" s="183"/>
      <c r="I24" s="197"/>
      <c r="J24" s="183"/>
      <c r="K24" s="197"/>
      <c r="L24" s="183"/>
      <c r="M24" s="197"/>
      <c r="N24" s="183"/>
      <c r="O24" s="198"/>
      <c r="P24" s="198"/>
      <c r="Q24" s="198"/>
      <c r="R24" s="198"/>
      <c r="S24" s="205"/>
      <c r="T24" s="136">
        <f t="shared" si="0"/>
        <v>0</v>
      </c>
      <c r="U24" s="206"/>
    </row>
    <row r="25" spans="1:21" ht="28.5" customHeight="1">
      <c r="A25" s="176" t="s">
        <v>36</v>
      </c>
      <c r="B25" s="177"/>
      <c r="C25" s="178"/>
      <c r="D25" s="179"/>
      <c r="E25" s="180"/>
      <c r="F25" s="181"/>
      <c r="G25" s="182"/>
      <c r="H25" s="183"/>
      <c r="I25" s="197"/>
      <c r="J25" s="183"/>
      <c r="K25" s="197"/>
      <c r="L25" s="183"/>
      <c r="M25" s="197"/>
      <c r="N25" s="183"/>
      <c r="O25" s="198"/>
      <c r="P25" s="198"/>
      <c r="Q25" s="77"/>
      <c r="R25" s="198"/>
      <c r="S25" s="205"/>
      <c r="T25" s="136">
        <f t="shared" si="0"/>
        <v>0</v>
      </c>
      <c r="U25" s="206"/>
    </row>
    <row r="26" spans="1:21" ht="14.1" customHeight="1">
      <c r="A26" s="176" t="s">
        <v>36</v>
      </c>
      <c r="B26" s="177"/>
      <c r="C26" s="178"/>
      <c r="D26" s="179"/>
      <c r="E26" s="180"/>
      <c r="F26" s="181"/>
      <c r="G26" s="182"/>
      <c r="H26" s="183"/>
      <c r="I26" s="197"/>
      <c r="J26" s="183"/>
      <c r="K26" s="197"/>
      <c r="L26" s="183"/>
      <c r="M26" s="197"/>
      <c r="N26" s="183"/>
      <c r="O26" s="198"/>
      <c r="P26" s="198"/>
      <c r="Q26" s="198"/>
      <c r="R26" s="198"/>
      <c r="S26" s="205"/>
      <c r="T26" s="136">
        <f t="shared" si="0"/>
        <v>0</v>
      </c>
      <c r="U26" s="206"/>
    </row>
    <row r="27" spans="1:21" ht="14.1" customHeight="1">
      <c r="A27" s="176" t="s">
        <v>36</v>
      </c>
      <c r="B27" s="177"/>
      <c r="C27" s="178"/>
      <c r="D27" s="179"/>
      <c r="E27" s="180"/>
      <c r="F27" s="181"/>
      <c r="G27" s="182"/>
      <c r="H27" s="183"/>
      <c r="I27" s="197"/>
      <c r="J27" s="183"/>
      <c r="K27" s="197"/>
      <c r="L27" s="183"/>
      <c r="M27" s="197"/>
      <c r="N27" s="183"/>
      <c r="O27" s="198"/>
      <c r="P27" s="198"/>
      <c r="Q27" s="198"/>
      <c r="R27" s="198"/>
      <c r="S27" s="205"/>
      <c r="T27" s="136">
        <f t="shared" si="0"/>
        <v>0</v>
      </c>
      <c r="U27" s="206"/>
    </row>
    <row r="28" spans="1:21" ht="14.1" customHeight="1">
      <c r="A28" s="176" t="s">
        <v>36</v>
      </c>
      <c r="B28" s="177"/>
      <c r="C28" s="178"/>
      <c r="D28" s="179"/>
      <c r="E28" s="180"/>
      <c r="F28" s="181"/>
      <c r="G28" s="182"/>
      <c r="H28" s="183"/>
      <c r="I28" s="197"/>
      <c r="J28" s="183"/>
      <c r="K28" s="197"/>
      <c r="L28" s="183"/>
      <c r="M28" s="197"/>
      <c r="N28" s="183"/>
      <c r="O28" s="198"/>
      <c r="P28" s="198"/>
      <c r="Q28" s="198"/>
      <c r="R28" s="198"/>
      <c r="S28" s="205"/>
      <c r="T28" s="136">
        <f t="shared" si="0"/>
        <v>0</v>
      </c>
      <c r="U28" s="206"/>
    </row>
    <row r="29" spans="1:21" ht="14.1" customHeight="1">
      <c r="A29" s="176" t="s">
        <v>36</v>
      </c>
      <c r="B29" s="177"/>
      <c r="C29" s="178"/>
      <c r="D29" s="179"/>
      <c r="E29" s="180"/>
      <c r="F29" s="181"/>
      <c r="G29" s="182"/>
      <c r="H29" s="183"/>
      <c r="I29" s="197"/>
      <c r="J29" s="183"/>
      <c r="K29" s="197"/>
      <c r="L29" s="183"/>
      <c r="M29" s="197"/>
      <c r="N29" s="183"/>
      <c r="O29" s="198"/>
      <c r="P29" s="198"/>
      <c r="Q29" s="198"/>
      <c r="R29" s="198"/>
      <c r="S29" s="205"/>
      <c r="T29" s="136">
        <f t="shared" si="0"/>
        <v>0</v>
      </c>
      <c r="U29" s="206"/>
    </row>
    <row r="30" spans="1:21" ht="21.75" customHeight="1">
      <c r="A30" s="176" t="s">
        <v>36</v>
      </c>
      <c r="B30" s="177"/>
      <c r="C30" s="178"/>
      <c r="D30" s="179"/>
      <c r="E30" s="180"/>
      <c r="F30" s="181"/>
      <c r="G30" s="182"/>
      <c r="H30" s="183"/>
      <c r="I30" s="197"/>
      <c r="J30" s="183"/>
      <c r="K30" s="197"/>
      <c r="L30" s="183"/>
      <c r="M30" s="197"/>
      <c r="N30" s="183"/>
      <c r="O30" s="198"/>
      <c r="P30" s="198"/>
      <c r="Q30" s="198"/>
      <c r="R30" s="198"/>
      <c r="S30" s="205"/>
      <c r="T30" s="136">
        <f t="shared" si="0"/>
        <v>0</v>
      </c>
      <c r="U30" s="206"/>
    </row>
    <row r="31" spans="1:21" ht="21.75" customHeight="1">
      <c r="A31" s="176" t="s">
        <v>36</v>
      </c>
      <c r="B31" s="177"/>
      <c r="C31" s="178"/>
      <c r="D31" s="179"/>
      <c r="E31" s="180"/>
      <c r="F31" s="181"/>
      <c r="G31" s="182"/>
      <c r="H31" s="183"/>
      <c r="I31" s="197"/>
      <c r="J31" s="183"/>
      <c r="K31" s="197"/>
      <c r="L31" s="183"/>
      <c r="M31" s="197"/>
      <c r="N31" s="183"/>
      <c r="O31" s="198"/>
      <c r="P31" s="198"/>
      <c r="Q31" s="198"/>
      <c r="R31" s="198"/>
      <c r="S31" s="205"/>
      <c r="T31" s="136">
        <f t="shared" si="0"/>
        <v>0</v>
      </c>
      <c r="U31" s="206"/>
    </row>
    <row r="32" spans="1:21" ht="14.1" customHeight="1">
      <c r="A32" s="176" t="s">
        <v>36</v>
      </c>
      <c r="B32" s="177"/>
      <c r="C32" s="184"/>
      <c r="D32" s="179"/>
      <c r="E32" s="180"/>
      <c r="F32" s="181"/>
      <c r="G32" s="182"/>
      <c r="H32" s="183"/>
      <c r="I32" s="197"/>
      <c r="J32" s="183"/>
      <c r="K32" s="197"/>
      <c r="L32" s="183"/>
      <c r="M32" s="197"/>
      <c r="N32" s="183"/>
      <c r="O32" s="198"/>
      <c r="P32" s="198"/>
      <c r="Q32" s="198"/>
      <c r="R32" s="198"/>
      <c r="S32" s="205"/>
      <c r="T32" s="136">
        <f t="shared" si="0"/>
        <v>0</v>
      </c>
      <c r="U32" s="206"/>
    </row>
    <row r="33" spans="1:21" ht="61.5" customHeight="1">
      <c r="A33" s="176" t="s">
        <v>36</v>
      </c>
      <c r="B33" s="177"/>
      <c r="C33" s="185"/>
      <c r="D33" s="179"/>
      <c r="E33" s="180"/>
      <c r="F33" s="181"/>
      <c r="G33" s="182"/>
      <c r="H33" s="183"/>
      <c r="I33" s="197"/>
      <c r="J33" s="183"/>
      <c r="K33" s="197"/>
      <c r="L33" s="183"/>
      <c r="M33" s="197"/>
      <c r="N33" s="183"/>
      <c r="O33" s="198"/>
      <c r="P33" s="198"/>
      <c r="Q33" s="198"/>
      <c r="R33" s="198"/>
      <c r="S33" s="205"/>
      <c r="T33" s="136">
        <f t="shared" si="0"/>
        <v>0</v>
      </c>
      <c r="U33" s="206"/>
    </row>
    <row r="34" spans="1:21" ht="63.75" customHeight="1">
      <c r="A34" s="176" t="s">
        <v>36</v>
      </c>
      <c r="B34" s="184"/>
      <c r="C34" s="185"/>
      <c r="D34" s="179"/>
      <c r="E34" s="180"/>
      <c r="F34" s="181"/>
      <c r="G34" s="182"/>
      <c r="H34" s="183"/>
      <c r="I34" s="197"/>
      <c r="J34" s="183"/>
      <c r="K34" s="197"/>
      <c r="L34" s="183"/>
      <c r="M34" s="197"/>
      <c r="N34" s="183"/>
      <c r="O34" s="198"/>
      <c r="P34" s="198"/>
      <c r="Q34" s="198"/>
      <c r="R34" s="198"/>
      <c r="S34" s="205"/>
      <c r="T34" s="136">
        <f t="shared" si="0"/>
        <v>0</v>
      </c>
      <c r="U34" s="206"/>
    </row>
    <row r="35" spans="1:21" ht="61.5" customHeight="1">
      <c r="A35" s="176" t="s">
        <v>36</v>
      </c>
      <c r="B35" s="184"/>
      <c r="C35" s="185"/>
      <c r="D35" s="179"/>
      <c r="E35" s="180"/>
      <c r="F35" s="181"/>
      <c r="G35" s="182"/>
      <c r="H35" s="183"/>
      <c r="I35" s="197"/>
      <c r="J35" s="183"/>
      <c r="K35" s="197"/>
      <c r="L35" s="183"/>
      <c r="M35" s="197"/>
      <c r="N35" s="183"/>
      <c r="O35" s="198"/>
      <c r="P35" s="198"/>
      <c r="Q35" s="198"/>
      <c r="R35" s="198"/>
      <c r="S35" s="205"/>
      <c r="T35" s="136">
        <f t="shared" si="0"/>
        <v>0</v>
      </c>
      <c r="U35" s="206"/>
    </row>
    <row r="36" spans="1:21">
      <c r="A36" s="186"/>
      <c r="B36" s="187"/>
      <c r="C36" s="187"/>
      <c r="D36" s="188"/>
      <c r="E36" s="189"/>
      <c r="F36" s="190"/>
      <c r="G36" s="191"/>
      <c r="H36" s="190"/>
      <c r="I36" s="199"/>
      <c r="J36" s="190"/>
      <c r="K36" s="199"/>
      <c r="L36" s="190"/>
      <c r="M36" s="199"/>
      <c r="N36" s="190"/>
      <c r="O36" s="200"/>
      <c r="P36" s="200"/>
      <c r="Q36" s="200"/>
      <c r="R36" s="200"/>
      <c r="S36" s="207"/>
      <c r="T36" s="208">
        <f t="shared" si="0"/>
        <v>0</v>
      </c>
      <c r="U36" s="191"/>
    </row>
    <row r="38" spans="1:21">
      <c r="T38" s="1">
        <f>SUM(T12:T37)</f>
        <v>0</v>
      </c>
    </row>
    <row r="39" spans="1:21" ht="21.75" customHeight="1">
      <c r="A39" s="396" t="s">
        <v>41</v>
      </c>
      <c r="B39" s="397"/>
      <c r="C39" s="398"/>
      <c r="D39" s="49" t="s">
        <v>21</v>
      </c>
    </row>
    <row r="40" spans="1:21" ht="21.75" customHeight="1">
      <c r="A40" s="399" t="s">
        <v>42</v>
      </c>
      <c r="B40" s="400"/>
      <c r="C40" s="401"/>
      <c r="D40" s="80">
        <f>SUM(T12:T23)</f>
        <v>0</v>
      </c>
    </row>
    <row r="41" spans="1:21" ht="21.75" customHeight="1">
      <c r="A41" s="402" t="s">
        <v>43</v>
      </c>
      <c r="B41" s="403"/>
      <c r="C41" s="404"/>
      <c r="D41" s="81">
        <f>SUM(T24:T35)</f>
        <v>0</v>
      </c>
    </row>
    <row r="42" spans="1:21" ht="21.75" customHeight="1">
      <c r="A42" s="405" t="s">
        <v>44</v>
      </c>
      <c r="B42" s="406"/>
      <c r="C42" s="407"/>
      <c r="D42" s="82">
        <f>SUM(D40:D41)</f>
        <v>0</v>
      </c>
    </row>
  </sheetData>
  <autoFilter ref="A10:U36" xr:uid="{00000000-0009-0000-0000-000005000000}"/>
  <mergeCells count="17">
    <mergeCell ref="A39:C39"/>
    <mergeCell ref="A40:C40"/>
    <mergeCell ref="A41:C41"/>
    <mergeCell ref="A42:C42"/>
    <mergeCell ref="A9:A10"/>
    <mergeCell ref="B9:B10"/>
    <mergeCell ref="C9:C10"/>
    <mergeCell ref="D9:D10"/>
    <mergeCell ref="E9:E10"/>
    <mergeCell ref="F9:F10"/>
    <mergeCell ref="G9:G10"/>
    <mergeCell ref="N9:N10"/>
    <mergeCell ref="O9:O10"/>
    <mergeCell ref="P9:P10"/>
    <mergeCell ref="Q9:Q10"/>
    <mergeCell ref="T9:T10"/>
    <mergeCell ref="U9:U10"/>
  </mergeCells>
  <pageMargins left="0.196850393700787" right="0" top="0.15748031496063" bottom="0.15748031496063" header="0.31496062992126" footer="0.31496062992126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99"/>
  <sheetViews>
    <sheetView topLeftCell="A181" zoomScale="85" zoomScaleNormal="85" workbookViewId="0">
      <selection activeCell="C197" sqref="C197"/>
    </sheetView>
  </sheetViews>
  <sheetFormatPr defaultColWidth="9.140625" defaultRowHeight="12.75"/>
  <cols>
    <col min="1" max="1" width="7.7109375" style="4" customWidth="1"/>
    <col min="2" max="2" width="10.7109375" style="4" customWidth="1"/>
    <col min="3" max="3" width="30.28515625" style="4" customWidth="1"/>
    <col min="4" max="4" width="10.7109375" style="4" customWidth="1"/>
    <col min="5" max="13" width="4.7109375" style="1" customWidth="1"/>
    <col min="14" max="15" width="3.5703125" style="1" customWidth="1"/>
    <col min="16" max="19" width="5.7109375" style="1" customWidth="1"/>
    <col min="20" max="20" width="6.5703125" style="1" customWidth="1"/>
    <col min="21" max="21" width="4.7109375" style="1" customWidth="1"/>
    <col min="22" max="16384" width="9.140625" style="4"/>
  </cols>
  <sheetData>
    <row r="1" spans="1:21">
      <c r="B1" s="5" t="s">
        <v>0</v>
      </c>
      <c r="C1" s="6"/>
    </row>
    <row r="2" spans="1:21">
      <c r="B2" s="5" t="s">
        <v>1</v>
      </c>
      <c r="C2" s="7"/>
    </row>
    <row r="3" spans="1:21">
      <c r="B3" s="5" t="s">
        <v>2</v>
      </c>
      <c r="C3" s="6"/>
    </row>
    <row r="4" spans="1:21">
      <c r="A4" s="84" t="s">
        <v>3</v>
      </c>
      <c r="B4" s="9"/>
      <c r="C4" s="6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>
      <c r="A5" s="84" t="s">
        <v>4</v>
      </c>
      <c r="B5" s="9"/>
      <c r="C5" s="6"/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84" t="s">
        <v>101</v>
      </c>
      <c r="B6" s="9"/>
      <c r="C6" s="9"/>
      <c r="D6" s="9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>
      <c r="A7" s="84" t="s">
        <v>5</v>
      </c>
      <c r="B7" s="9"/>
      <c r="C7" s="9"/>
      <c r="D7" s="9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9" spans="1:21" ht="24" customHeight="1">
      <c r="A9" s="416" t="s">
        <v>6</v>
      </c>
      <c r="B9" s="382" t="s">
        <v>7</v>
      </c>
      <c r="C9" s="418" t="s">
        <v>8</v>
      </c>
      <c r="D9" s="412" t="s">
        <v>9</v>
      </c>
      <c r="E9" s="414" t="s">
        <v>10</v>
      </c>
      <c r="F9" s="416" t="s">
        <v>11</v>
      </c>
      <c r="G9" s="386" t="s">
        <v>12</v>
      </c>
      <c r="H9" s="10" t="s">
        <v>13</v>
      </c>
      <c r="I9" s="36"/>
      <c r="J9" s="37" t="s">
        <v>14</v>
      </c>
      <c r="K9" s="36"/>
      <c r="L9" s="37" t="s">
        <v>15</v>
      </c>
      <c r="M9" s="38"/>
      <c r="N9" s="416" t="s">
        <v>16</v>
      </c>
      <c r="O9" s="382" t="s">
        <v>17</v>
      </c>
      <c r="P9" s="382" t="s">
        <v>18</v>
      </c>
      <c r="Q9" s="382" t="s">
        <v>19</v>
      </c>
      <c r="R9" s="45" t="s">
        <v>20</v>
      </c>
      <c r="S9" s="36"/>
      <c r="T9" s="384" t="s">
        <v>21</v>
      </c>
      <c r="U9" s="386" t="s">
        <v>22</v>
      </c>
    </row>
    <row r="10" spans="1:21" s="1" customFormat="1" ht="87.75" customHeight="1">
      <c r="A10" s="417"/>
      <c r="B10" s="383"/>
      <c r="C10" s="419"/>
      <c r="D10" s="413"/>
      <c r="E10" s="415"/>
      <c r="F10" s="417"/>
      <c r="G10" s="387"/>
      <c r="H10" s="11" t="s">
        <v>23</v>
      </c>
      <c r="I10" s="13" t="s">
        <v>24</v>
      </c>
      <c r="J10" s="11" t="s">
        <v>23</v>
      </c>
      <c r="K10" s="13" t="s">
        <v>24</v>
      </c>
      <c r="L10" s="11" t="s">
        <v>23</v>
      </c>
      <c r="M10" s="13" t="s">
        <v>24</v>
      </c>
      <c r="N10" s="417"/>
      <c r="O10" s="383"/>
      <c r="P10" s="383"/>
      <c r="Q10" s="383"/>
      <c r="R10" s="12" t="s">
        <v>25</v>
      </c>
      <c r="S10" s="46" t="s">
        <v>26</v>
      </c>
      <c r="T10" s="385"/>
      <c r="U10" s="387"/>
    </row>
    <row r="11" spans="1:21" s="2" customFormat="1">
      <c r="A11" s="14">
        <v>1</v>
      </c>
      <c r="B11" s="15">
        <v>2</v>
      </c>
      <c r="C11" s="15">
        <v>3</v>
      </c>
      <c r="D11" s="16">
        <v>4</v>
      </c>
      <c r="E11" s="17">
        <v>5</v>
      </c>
      <c r="F11" s="14">
        <v>6</v>
      </c>
      <c r="G11" s="16">
        <v>7</v>
      </c>
      <c r="H11" s="18">
        <v>8</v>
      </c>
      <c r="I11" s="39">
        <v>9</v>
      </c>
      <c r="J11" s="18">
        <v>10</v>
      </c>
      <c r="K11" s="39">
        <v>11</v>
      </c>
      <c r="L11" s="18">
        <v>12</v>
      </c>
      <c r="M11" s="39">
        <v>13</v>
      </c>
      <c r="N11" s="14">
        <v>14</v>
      </c>
      <c r="O11" s="15">
        <v>15</v>
      </c>
      <c r="P11" s="40">
        <v>16</v>
      </c>
      <c r="Q11" s="40">
        <v>17</v>
      </c>
      <c r="R11" s="40">
        <v>18</v>
      </c>
      <c r="S11" s="39">
        <v>19</v>
      </c>
      <c r="T11" s="18">
        <v>20</v>
      </c>
      <c r="U11" s="39">
        <v>21</v>
      </c>
    </row>
    <row r="12" spans="1:21" ht="38.25">
      <c r="A12" s="218" t="s">
        <v>27</v>
      </c>
      <c r="B12" s="241" t="s">
        <v>102</v>
      </c>
      <c r="C12" s="71" t="s">
        <v>103</v>
      </c>
      <c r="D12" s="60" t="s">
        <v>104</v>
      </c>
      <c r="E12" s="209" t="s">
        <v>105</v>
      </c>
      <c r="F12" s="134">
        <v>1</v>
      </c>
      <c r="G12" s="135">
        <v>2</v>
      </c>
      <c r="H12" s="136">
        <v>15</v>
      </c>
      <c r="I12" s="144">
        <v>15</v>
      </c>
      <c r="J12" s="136">
        <v>15</v>
      </c>
      <c r="K12" s="144">
        <v>30</v>
      </c>
      <c r="L12" s="136"/>
      <c r="M12" s="144"/>
      <c r="N12" s="136"/>
      <c r="O12" s="142"/>
      <c r="P12" s="142"/>
      <c r="Q12" s="142"/>
      <c r="R12" s="142"/>
      <c r="S12" s="144"/>
      <c r="T12" s="136">
        <f t="shared" ref="T12:T30" si="0">(I12+K12+M12+N12+O12+P12+Q12+R12+S12)</f>
        <v>45</v>
      </c>
      <c r="U12" s="144">
        <v>3</v>
      </c>
    </row>
    <row r="13" spans="1:21" ht="51">
      <c r="A13" s="218" t="s">
        <v>27</v>
      </c>
      <c r="B13" s="246" t="s">
        <v>106</v>
      </c>
      <c r="C13" s="71" t="s">
        <v>103</v>
      </c>
      <c r="D13" s="60" t="s">
        <v>104</v>
      </c>
      <c r="E13" s="209" t="s">
        <v>98</v>
      </c>
      <c r="F13" s="134">
        <v>1</v>
      </c>
      <c r="G13" s="135">
        <v>2</v>
      </c>
      <c r="H13" s="136">
        <v>15</v>
      </c>
      <c r="I13" s="144">
        <v>15</v>
      </c>
      <c r="J13" s="136">
        <v>15</v>
      </c>
      <c r="K13" s="144">
        <v>30</v>
      </c>
      <c r="L13" s="136"/>
      <c r="M13" s="144"/>
      <c r="N13" s="136"/>
      <c r="O13" s="142"/>
      <c r="P13" s="142"/>
      <c r="Q13" s="142"/>
      <c r="R13" s="142"/>
      <c r="S13" s="144"/>
      <c r="T13" s="136">
        <f t="shared" si="0"/>
        <v>45</v>
      </c>
      <c r="U13" s="144">
        <v>3</v>
      </c>
    </row>
    <row r="14" spans="1:21" ht="25.5">
      <c r="A14" s="218" t="s">
        <v>27</v>
      </c>
      <c r="B14" s="215" t="s">
        <v>107</v>
      </c>
      <c r="C14" s="217" t="s">
        <v>108</v>
      </c>
      <c r="D14" s="60" t="s">
        <v>54</v>
      </c>
      <c r="E14" s="209">
        <v>47</v>
      </c>
      <c r="F14" s="134">
        <v>1</v>
      </c>
      <c r="G14" s="135">
        <v>2</v>
      </c>
      <c r="H14" s="136">
        <v>30</v>
      </c>
      <c r="I14" s="144">
        <v>30</v>
      </c>
      <c r="J14" s="136">
        <v>30</v>
      </c>
      <c r="K14" s="144">
        <v>60</v>
      </c>
      <c r="L14" s="136"/>
      <c r="M14" s="144"/>
      <c r="N14" s="136"/>
      <c r="O14" s="142"/>
      <c r="P14" s="142"/>
      <c r="Q14" s="142"/>
      <c r="R14" s="142"/>
      <c r="S14" s="144"/>
      <c r="T14" s="136">
        <f t="shared" si="0"/>
        <v>90</v>
      </c>
      <c r="U14" s="144">
        <v>6</v>
      </c>
    </row>
    <row r="15" spans="1:21" ht="25.5">
      <c r="A15" s="218" t="s">
        <v>27</v>
      </c>
      <c r="B15" s="245" t="s">
        <v>109</v>
      </c>
      <c r="C15" s="71" t="s">
        <v>103</v>
      </c>
      <c r="D15" s="60" t="s">
        <v>73</v>
      </c>
      <c r="E15" s="209" t="s">
        <v>110</v>
      </c>
      <c r="F15" s="134">
        <v>1</v>
      </c>
      <c r="G15" s="135">
        <v>3</v>
      </c>
      <c r="H15" s="136">
        <v>15</v>
      </c>
      <c r="I15" s="144">
        <v>15</v>
      </c>
      <c r="J15" s="136">
        <v>15</v>
      </c>
      <c r="K15" s="144">
        <v>45</v>
      </c>
      <c r="L15" s="136"/>
      <c r="M15" s="144"/>
      <c r="N15" s="136"/>
      <c r="O15" s="142"/>
      <c r="P15" s="142"/>
      <c r="Q15" s="142"/>
      <c r="R15" s="142"/>
      <c r="S15" s="144"/>
      <c r="T15" s="136">
        <f t="shared" si="0"/>
        <v>60</v>
      </c>
      <c r="U15" s="144">
        <v>3</v>
      </c>
    </row>
    <row r="16" spans="1:21" ht="25.5">
      <c r="A16" s="218" t="s">
        <v>27</v>
      </c>
      <c r="B16" s="59" t="s">
        <v>111</v>
      </c>
      <c r="C16" s="71" t="s">
        <v>103</v>
      </c>
      <c r="D16" s="228" t="s">
        <v>112</v>
      </c>
      <c r="E16" s="209" t="s">
        <v>113</v>
      </c>
      <c r="F16" s="134">
        <v>1</v>
      </c>
      <c r="G16" s="135">
        <v>2</v>
      </c>
      <c r="H16" s="136">
        <v>15</v>
      </c>
      <c r="I16" s="144">
        <v>15</v>
      </c>
      <c r="J16" s="136">
        <v>15</v>
      </c>
      <c r="K16" s="144">
        <v>30</v>
      </c>
      <c r="L16" s="136"/>
      <c r="M16" s="144"/>
      <c r="N16" s="136"/>
      <c r="O16" s="142"/>
      <c r="P16" s="142"/>
      <c r="Q16" s="142"/>
      <c r="R16" s="142"/>
      <c r="S16" s="144"/>
      <c r="T16" s="136">
        <f t="shared" ref="T16:T21" si="1">(I16+K16+M16+N16+O16+P16+Q16+R16+S16)</f>
        <v>45</v>
      </c>
      <c r="U16" s="144">
        <v>3</v>
      </c>
    </row>
    <row r="17" spans="1:21" ht="38.25">
      <c r="A17" s="218" t="s">
        <v>27</v>
      </c>
      <c r="B17" s="59" t="s">
        <v>114</v>
      </c>
      <c r="C17" s="71" t="s">
        <v>103</v>
      </c>
      <c r="D17" s="228" t="s">
        <v>115</v>
      </c>
      <c r="E17" s="209" t="s">
        <v>99</v>
      </c>
      <c r="F17" s="134">
        <v>1</v>
      </c>
      <c r="G17" s="135">
        <v>2</v>
      </c>
      <c r="H17" s="136">
        <v>15</v>
      </c>
      <c r="I17" s="144">
        <v>15</v>
      </c>
      <c r="J17" s="136">
        <v>15</v>
      </c>
      <c r="K17" s="144">
        <v>30</v>
      </c>
      <c r="L17" s="136"/>
      <c r="M17" s="144"/>
      <c r="N17" s="136"/>
      <c r="O17" s="142"/>
      <c r="P17" s="142"/>
      <c r="Q17" s="142"/>
      <c r="R17" s="142"/>
      <c r="S17" s="144"/>
      <c r="T17" s="136">
        <f t="shared" si="1"/>
        <v>45</v>
      </c>
      <c r="U17" s="144">
        <v>3</v>
      </c>
    </row>
    <row r="18" spans="1:21" ht="38.25">
      <c r="A18" s="218" t="s">
        <v>27</v>
      </c>
      <c r="B18" s="59" t="s">
        <v>116</v>
      </c>
      <c r="C18" s="71" t="s">
        <v>103</v>
      </c>
      <c r="D18" s="60" t="s">
        <v>117</v>
      </c>
      <c r="E18" s="209" t="s">
        <v>118</v>
      </c>
      <c r="F18" s="134">
        <v>1</v>
      </c>
      <c r="G18" s="135">
        <v>2</v>
      </c>
      <c r="H18" s="136">
        <v>15</v>
      </c>
      <c r="I18" s="144">
        <v>15</v>
      </c>
      <c r="J18" s="136">
        <v>15</v>
      </c>
      <c r="K18" s="144">
        <v>30</v>
      </c>
      <c r="L18" s="136"/>
      <c r="M18" s="144"/>
      <c r="N18" s="136"/>
      <c r="O18" s="142"/>
      <c r="P18" s="142"/>
      <c r="Q18" s="142"/>
      <c r="R18" s="142"/>
      <c r="S18" s="144"/>
      <c r="T18" s="136">
        <f t="shared" si="1"/>
        <v>45</v>
      </c>
      <c r="U18" s="144">
        <v>3</v>
      </c>
    </row>
    <row r="19" spans="1:21" ht="38.25">
      <c r="A19" s="22" t="s">
        <v>27</v>
      </c>
      <c r="B19" s="117" t="s">
        <v>119</v>
      </c>
      <c r="C19" s="51" t="s">
        <v>103</v>
      </c>
      <c r="D19" s="21" t="s">
        <v>120</v>
      </c>
      <c r="E19" s="35" t="s">
        <v>121</v>
      </c>
      <c r="F19" s="23">
        <v>1</v>
      </c>
      <c r="G19" s="24">
        <v>3</v>
      </c>
      <c r="H19" s="25">
        <v>15</v>
      </c>
      <c r="I19" s="41">
        <v>15</v>
      </c>
      <c r="J19" s="25">
        <v>15</v>
      </c>
      <c r="K19" s="41">
        <v>45</v>
      </c>
      <c r="L19" s="25"/>
      <c r="M19" s="41"/>
      <c r="N19" s="25"/>
      <c r="O19" s="42"/>
      <c r="P19" s="42"/>
      <c r="Q19" s="42"/>
      <c r="R19" s="42"/>
      <c r="S19" s="41"/>
      <c r="T19" s="25">
        <f t="shared" si="1"/>
        <v>60</v>
      </c>
      <c r="U19" s="41">
        <v>3</v>
      </c>
    </row>
    <row r="20" spans="1:21" ht="25.5">
      <c r="A20" s="218" t="s">
        <v>27</v>
      </c>
      <c r="B20" s="217" t="s">
        <v>122</v>
      </c>
      <c r="C20" s="71" t="s">
        <v>103</v>
      </c>
      <c r="D20" s="60" t="s">
        <v>123</v>
      </c>
      <c r="E20" s="209" t="s">
        <v>118</v>
      </c>
      <c r="F20" s="134">
        <v>1</v>
      </c>
      <c r="G20" s="135">
        <v>2</v>
      </c>
      <c r="H20" s="136">
        <v>15</v>
      </c>
      <c r="I20" s="144">
        <v>15</v>
      </c>
      <c r="J20" s="136">
        <v>15</v>
      </c>
      <c r="K20" s="144">
        <v>30</v>
      </c>
      <c r="L20" s="136"/>
      <c r="M20" s="144"/>
      <c r="N20" s="136"/>
      <c r="O20" s="142"/>
      <c r="P20" s="142"/>
      <c r="Q20" s="142"/>
      <c r="R20" s="142"/>
      <c r="S20" s="144"/>
      <c r="T20" s="136">
        <f t="shared" si="1"/>
        <v>45</v>
      </c>
      <c r="U20" s="144">
        <v>3</v>
      </c>
    </row>
    <row r="21" spans="1:21" ht="25.5">
      <c r="A21" s="218" t="s">
        <v>27</v>
      </c>
      <c r="B21" s="240" t="s">
        <v>124</v>
      </c>
      <c r="C21" s="71" t="s">
        <v>103</v>
      </c>
      <c r="D21" s="60" t="s">
        <v>125</v>
      </c>
      <c r="E21" s="209" t="s">
        <v>126</v>
      </c>
      <c r="F21" s="134">
        <v>1</v>
      </c>
      <c r="G21" s="135">
        <v>2</v>
      </c>
      <c r="H21" s="136">
        <v>15</v>
      </c>
      <c r="I21" s="144">
        <v>15</v>
      </c>
      <c r="J21" s="136">
        <v>15</v>
      </c>
      <c r="K21" s="144">
        <v>30</v>
      </c>
      <c r="L21" s="136"/>
      <c r="M21" s="144"/>
      <c r="N21" s="136"/>
      <c r="O21" s="142"/>
      <c r="P21" s="142"/>
      <c r="Q21" s="142"/>
      <c r="R21" s="142"/>
      <c r="S21" s="144"/>
      <c r="T21" s="136">
        <f t="shared" si="1"/>
        <v>45</v>
      </c>
      <c r="U21" s="144">
        <v>3</v>
      </c>
    </row>
    <row r="22" spans="1:21">
      <c r="A22" s="218" t="s">
        <v>27</v>
      </c>
      <c r="B22" s="217" t="s">
        <v>127</v>
      </c>
      <c r="C22" s="247" t="s">
        <v>128</v>
      </c>
      <c r="D22" s="60" t="s">
        <v>81</v>
      </c>
      <c r="E22" s="209">
        <v>30</v>
      </c>
      <c r="F22" s="134">
        <v>1</v>
      </c>
      <c r="G22" s="135">
        <v>1</v>
      </c>
      <c r="H22" s="136">
        <v>30</v>
      </c>
      <c r="I22" s="144">
        <v>30</v>
      </c>
      <c r="J22" s="136">
        <v>15</v>
      </c>
      <c r="K22" s="144">
        <v>15</v>
      </c>
      <c r="L22" s="136"/>
      <c r="M22" s="144"/>
      <c r="N22" s="136"/>
      <c r="O22" s="142"/>
      <c r="P22" s="142"/>
      <c r="Q22" s="142"/>
      <c r="R22" s="142"/>
      <c r="S22" s="144"/>
      <c r="T22" s="136">
        <f t="shared" si="0"/>
        <v>45</v>
      </c>
      <c r="U22" s="144">
        <v>5</v>
      </c>
    </row>
    <row r="23" spans="1:21" ht="25.5">
      <c r="A23" s="218" t="s">
        <v>27</v>
      </c>
      <c r="B23" s="217" t="s">
        <v>129</v>
      </c>
      <c r="C23" s="71" t="s">
        <v>103</v>
      </c>
      <c r="D23" s="60" t="s">
        <v>130</v>
      </c>
      <c r="E23" s="209" t="s">
        <v>131</v>
      </c>
      <c r="F23" s="134">
        <v>1</v>
      </c>
      <c r="G23" s="135">
        <v>2</v>
      </c>
      <c r="H23" s="136">
        <v>15</v>
      </c>
      <c r="I23" s="144">
        <v>15</v>
      </c>
      <c r="J23" s="136">
        <v>15</v>
      </c>
      <c r="K23" s="144">
        <v>30</v>
      </c>
      <c r="L23" s="136"/>
      <c r="M23" s="144"/>
      <c r="N23" s="136"/>
      <c r="O23" s="142"/>
      <c r="P23" s="142"/>
      <c r="Q23" s="142"/>
      <c r="R23" s="142"/>
      <c r="S23" s="144"/>
      <c r="T23" s="136">
        <f t="shared" si="0"/>
        <v>45</v>
      </c>
      <c r="U23" s="144">
        <v>3</v>
      </c>
    </row>
    <row r="24" spans="1:21" ht="25.5">
      <c r="A24" s="218" t="s">
        <v>27</v>
      </c>
      <c r="B24" s="217" t="s">
        <v>132</v>
      </c>
      <c r="C24" s="247" t="s">
        <v>133</v>
      </c>
      <c r="D24" s="60" t="s">
        <v>81</v>
      </c>
      <c r="E24" s="209" t="s">
        <v>134</v>
      </c>
      <c r="F24" s="134">
        <v>1</v>
      </c>
      <c r="G24" s="135">
        <v>2</v>
      </c>
      <c r="H24" s="136">
        <v>15</v>
      </c>
      <c r="I24" s="144">
        <v>15</v>
      </c>
      <c r="J24" s="136">
        <v>15</v>
      </c>
      <c r="K24" s="144">
        <v>30</v>
      </c>
      <c r="L24" s="136"/>
      <c r="M24" s="144"/>
      <c r="N24" s="136"/>
      <c r="O24" s="142"/>
      <c r="P24" s="142"/>
      <c r="Q24" s="142"/>
      <c r="R24" s="142"/>
      <c r="S24" s="144"/>
      <c r="T24" s="136">
        <f t="shared" si="0"/>
        <v>45</v>
      </c>
      <c r="U24" s="144">
        <v>4</v>
      </c>
    </row>
    <row r="25" spans="1:21">
      <c r="A25" s="218" t="s">
        <v>27</v>
      </c>
      <c r="B25" s="217" t="s">
        <v>135</v>
      </c>
      <c r="C25" s="247" t="s">
        <v>128</v>
      </c>
      <c r="D25" s="60" t="s">
        <v>136</v>
      </c>
      <c r="E25" s="209">
        <v>50</v>
      </c>
      <c r="F25" s="134">
        <v>1</v>
      </c>
      <c r="G25" s="135">
        <v>2</v>
      </c>
      <c r="H25" s="136">
        <v>30</v>
      </c>
      <c r="I25" s="144">
        <v>30</v>
      </c>
      <c r="J25" s="136">
        <v>30</v>
      </c>
      <c r="K25" s="144">
        <v>60</v>
      </c>
      <c r="L25" s="136"/>
      <c r="M25" s="144"/>
      <c r="N25" s="136"/>
      <c r="O25" s="142"/>
      <c r="P25" s="142"/>
      <c r="Q25" s="142"/>
      <c r="R25" s="142"/>
      <c r="S25" s="144"/>
      <c r="T25" s="136">
        <f t="shared" si="0"/>
        <v>90</v>
      </c>
      <c r="U25" s="144">
        <v>7</v>
      </c>
    </row>
    <row r="26" spans="1:21" ht="15" customHeight="1">
      <c r="A26" s="218" t="s">
        <v>27</v>
      </c>
      <c r="B26" s="240" t="s">
        <v>137</v>
      </c>
      <c r="C26" s="247" t="s">
        <v>138</v>
      </c>
      <c r="D26" s="71" t="s">
        <v>29</v>
      </c>
      <c r="E26" s="209">
        <v>40</v>
      </c>
      <c r="F26" s="134">
        <v>1</v>
      </c>
      <c r="G26" s="135">
        <v>1</v>
      </c>
      <c r="H26" s="136">
        <v>30</v>
      </c>
      <c r="I26" s="144">
        <v>30</v>
      </c>
      <c r="J26" s="136">
        <v>15</v>
      </c>
      <c r="K26" s="144">
        <v>15</v>
      </c>
      <c r="L26" s="136"/>
      <c r="M26" s="144"/>
      <c r="N26" s="136"/>
      <c r="O26" s="142"/>
      <c r="P26" s="142"/>
      <c r="Q26" s="142"/>
      <c r="R26" s="142"/>
      <c r="S26" s="144"/>
      <c r="T26" s="136">
        <f t="shared" si="0"/>
        <v>45</v>
      </c>
      <c r="U26" s="144">
        <v>4</v>
      </c>
    </row>
    <row r="27" spans="1:21" ht="15.75" customHeight="1">
      <c r="A27" s="218" t="s">
        <v>27</v>
      </c>
      <c r="B27" s="240" t="s">
        <v>137</v>
      </c>
      <c r="C27" s="247" t="s">
        <v>139</v>
      </c>
      <c r="D27" s="71" t="s">
        <v>29</v>
      </c>
      <c r="E27" s="209">
        <v>40</v>
      </c>
      <c r="F27" s="134">
        <v>1</v>
      </c>
      <c r="G27" s="135">
        <v>1</v>
      </c>
      <c r="H27" s="136">
        <v>15</v>
      </c>
      <c r="I27" s="144">
        <v>15</v>
      </c>
      <c r="J27" s="136">
        <v>15</v>
      </c>
      <c r="K27" s="144">
        <v>30</v>
      </c>
      <c r="L27" s="136"/>
      <c r="M27" s="144"/>
      <c r="N27" s="136"/>
      <c r="O27" s="142"/>
      <c r="P27" s="142"/>
      <c r="Q27" s="142"/>
      <c r="R27" s="142"/>
      <c r="S27" s="144"/>
      <c r="T27" s="136">
        <f t="shared" si="0"/>
        <v>45</v>
      </c>
      <c r="U27" s="144">
        <v>3</v>
      </c>
    </row>
    <row r="28" spans="1:21">
      <c r="A28" s="218" t="s">
        <v>27</v>
      </c>
      <c r="B28" s="217" t="s">
        <v>140</v>
      </c>
      <c r="C28" s="139" t="s">
        <v>141</v>
      </c>
      <c r="D28" s="60" t="s">
        <v>81</v>
      </c>
      <c r="E28" s="209">
        <v>23</v>
      </c>
      <c r="F28" s="134">
        <v>1</v>
      </c>
      <c r="G28" s="135">
        <v>1</v>
      </c>
      <c r="H28" s="136">
        <v>30</v>
      </c>
      <c r="I28" s="144">
        <v>30</v>
      </c>
      <c r="J28" s="136">
        <v>15</v>
      </c>
      <c r="K28" s="144">
        <v>15</v>
      </c>
      <c r="L28" s="136">
        <v>15</v>
      </c>
      <c r="M28" s="144">
        <v>15</v>
      </c>
      <c r="N28" s="136"/>
      <c r="O28" s="142"/>
      <c r="P28" s="142"/>
      <c r="Q28" s="142"/>
      <c r="R28" s="142"/>
      <c r="S28" s="144"/>
      <c r="T28" s="136">
        <f t="shared" si="0"/>
        <v>60</v>
      </c>
      <c r="U28" s="144">
        <v>6</v>
      </c>
    </row>
    <row r="29" spans="1:21">
      <c r="A29" s="218" t="s">
        <v>27</v>
      </c>
      <c r="B29" s="217" t="s">
        <v>140</v>
      </c>
      <c r="C29" s="139" t="s">
        <v>142</v>
      </c>
      <c r="D29" s="60" t="s">
        <v>81</v>
      </c>
      <c r="E29" s="209">
        <v>23</v>
      </c>
      <c r="F29" s="134">
        <v>1</v>
      </c>
      <c r="G29" s="135">
        <v>1</v>
      </c>
      <c r="H29" s="136">
        <v>45</v>
      </c>
      <c r="I29" s="144">
        <v>45</v>
      </c>
      <c r="J29" s="136">
        <v>30</v>
      </c>
      <c r="K29" s="144">
        <v>30</v>
      </c>
      <c r="L29" s="136"/>
      <c r="M29" s="144"/>
      <c r="N29" s="136"/>
      <c r="O29" s="142"/>
      <c r="P29" s="142"/>
      <c r="Q29" s="142"/>
      <c r="R29" s="142"/>
      <c r="S29" s="144"/>
      <c r="T29" s="136">
        <f t="shared" si="0"/>
        <v>75</v>
      </c>
      <c r="U29" s="144">
        <v>6</v>
      </c>
    </row>
    <row r="30" spans="1:21">
      <c r="A30" s="218" t="s">
        <v>27</v>
      </c>
      <c r="B30" s="217" t="s">
        <v>140</v>
      </c>
      <c r="C30" s="71" t="s">
        <v>143</v>
      </c>
      <c r="D30" s="60" t="s">
        <v>81</v>
      </c>
      <c r="E30" s="209">
        <v>23</v>
      </c>
      <c r="F30" s="134">
        <v>1</v>
      </c>
      <c r="G30" s="135">
        <v>1</v>
      </c>
      <c r="H30" s="136">
        <v>30</v>
      </c>
      <c r="I30" s="144">
        <v>30</v>
      </c>
      <c r="J30" s="136">
        <v>15</v>
      </c>
      <c r="K30" s="144">
        <v>15</v>
      </c>
      <c r="L30" s="136"/>
      <c r="M30" s="144"/>
      <c r="N30" s="136"/>
      <c r="O30" s="142"/>
      <c r="P30" s="142"/>
      <c r="Q30" s="142"/>
      <c r="R30" s="142"/>
      <c r="S30" s="144"/>
      <c r="T30" s="136">
        <f t="shared" si="0"/>
        <v>45</v>
      </c>
      <c r="U30" s="144">
        <v>4</v>
      </c>
    </row>
    <row r="31" spans="1:21" ht="51">
      <c r="A31" s="218" t="s">
        <v>27</v>
      </c>
      <c r="B31" s="217" t="s">
        <v>144</v>
      </c>
      <c r="C31" s="139" t="s">
        <v>145</v>
      </c>
      <c r="D31" s="60" t="s">
        <v>81</v>
      </c>
      <c r="E31" s="209" t="s">
        <v>146</v>
      </c>
      <c r="F31" s="134">
        <v>1</v>
      </c>
      <c r="G31" s="135">
        <v>2</v>
      </c>
      <c r="H31" s="136">
        <v>30</v>
      </c>
      <c r="I31" s="144">
        <v>30</v>
      </c>
      <c r="J31" s="136">
        <v>30</v>
      </c>
      <c r="K31" s="144">
        <v>60</v>
      </c>
      <c r="L31" s="136"/>
      <c r="M31" s="144"/>
      <c r="N31" s="136"/>
      <c r="O31" s="142"/>
      <c r="P31" s="142"/>
      <c r="Q31" s="142"/>
      <c r="R31" s="142"/>
      <c r="S31" s="144"/>
      <c r="T31" s="248">
        <f>I31+K31+M31+N31+O31+P31+Q31+R31+S31</f>
        <v>90</v>
      </c>
      <c r="U31" s="144">
        <v>5</v>
      </c>
    </row>
    <row r="32" spans="1:21" ht="51.75">
      <c r="A32" s="218" t="s">
        <v>27</v>
      </c>
      <c r="B32" s="217" t="s">
        <v>147</v>
      </c>
      <c r="C32" s="145" t="s">
        <v>148</v>
      </c>
      <c r="D32" s="60" t="s">
        <v>81</v>
      </c>
      <c r="E32" s="209" t="s">
        <v>149</v>
      </c>
      <c r="F32" s="134">
        <v>1</v>
      </c>
      <c r="G32" s="135">
        <v>2</v>
      </c>
      <c r="H32" s="136">
        <v>45</v>
      </c>
      <c r="I32" s="144">
        <v>45</v>
      </c>
      <c r="J32" s="136">
        <v>30</v>
      </c>
      <c r="K32" s="144">
        <v>60</v>
      </c>
      <c r="L32" s="136"/>
      <c r="M32" s="144"/>
      <c r="N32" s="136"/>
      <c r="O32" s="142"/>
      <c r="P32" s="142"/>
      <c r="Q32" s="142"/>
      <c r="R32" s="142"/>
      <c r="S32" s="144"/>
      <c r="T32" s="136">
        <f>(I32+K32+M32+N32+O32+P32+Q32+R32+S32)</f>
        <v>105</v>
      </c>
      <c r="U32" s="144">
        <v>6</v>
      </c>
    </row>
    <row r="33" spans="1:21">
      <c r="A33" s="218" t="s">
        <v>27</v>
      </c>
      <c r="B33" s="240" t="s">
        <v>55</v>
      </c>
      <c r="C33" s="217" t="s">
        <v>150</v>
      </c>
      <c r="D33" s="60" t="s">
        <v>29</v>
      </c>
      <c r="E33" s="209">
        <v>30</v>
      </c>
      <c r="F33" s="134">
        <v>1</v>
      </c>
      <c r="G33" s="135">
        <v>1</v>
      </c>
      <c r="H33" s="136">
        <v>45</v>
      </c>
      <c r="I33" s="144">
        <v>45</v>
      </c>
      <c r="J33" s="136">
        <v>15</v>
      </c>
      <c r="K33" s="144">
        <v>15</v>
      </c>
      <c r="L33" s="136">
        <v>30</v>
      </c>
      <c r="M33" s="144">
        <v>30</v>
      </c>
      <c r="N33" s="136"/>
      <c r="O33" s="142"/>
      <c r="P33" s="142"/>
      <c r="Q33" s="142"/>
      <c r="R33" s="142"/>
      <c r="S33" s="144"/>
      <c r="T33" s="136">
        <f>(I33+K33+M33+N33+O33+P33+Q33+R33+S33)</f>
        <v>90</v>
      </c>
      <c r="U33" s="144">
        <v>8</v>
      </c>
    </row>
    <row r="34" spans="1:21" ht="63.75">
      <c r="A34" s="218" t="s">
        <v>27</v>
      </c>
      <c r="B34" s="240" t="s">
        <v>55</v>
      </c>
      <c r="C34" s="139" t="s">
        <v>151</v>
      </c>
      <c r="D34" s="60" t="s">
        <v>29</v>
      </c>
      <c r="E34" s="209">
        <v>30</v>
      </c>
      <c r="F34" s="134">
        <v>1</v>
      </c>
      <c r="G34" s="135">
        <v>1</v>
      </c>
      <c r="H34" s="136">
        <v>30</v>
      </c>
      <c r="I34" s="144">
        <v>30</v>
      </c>
      <c r="J34" s="136">
        <v>30</v>
      </c>
      <c r="K34" s="144">
        <v>30</v>
      </c>
      <c r="L34" s="136"/>
      <c r="M34" s="144"/>
      <c r="N34" s="136"/>
      <c r="O34" s="142"/>
      <c r="P34" s="142"/>
      <c r="Q34" s="142"/>
      <c r="R34" s="142"/>
      <c r="S34" s="144"/>
      <c r="T34" s="136">
        <f>(I34+K34+M34+N34+O34+P34+Q34+R34+S34)</f>
        <v>60</v>
      </c>
      <c r="U34" s="144">
        <v>5</v>
      </c>
    </row>
    <row r="35" spans="1:21" ht="51">
      <c r="A35" s="218" t="s">
        <v>27</v>
      </c>
      <c r="B35" s="240" t="s">
        <v>55</v>
      </c>
      <c r="C35" s="139" t="s">
        <v>152</v>
      </c>
      <c r="D35" s="60" t="s">
        <v>29</v>
      </c>
      <c r="E35" s="209">
        <v>30</v>
      </c>
      <c r="F35" s="134">
        <v>1</v>
      </c>
      <c r="G35" s="135">
        <v>1</v>
      </c>
      <c r="H35" s="136">
        <v>30</v>
      </c>
      <c r="I35" s="144">
        <v>30</v>
      </c>
      <c r="J35" s="136">
        <v>30</v>
      </c>
      <c r="K35" s="144">
        <v>30</v>
      </c>
      <c r="L35" s="136"/>
      <c r="M35" s="144"/>
      <c r="N35" s="136"/>
      <c r="O35" s="142"/>
      <c r="P35" s="142"/>
      <c r="Q35" s="142"/>
      <c r="R35" s="142"/>
      <c r="S35" s="144"/>
      <c r="T35" s="136">
        <f t="shared" ref="T35:T41" si="2">(I35+K35+M35+N35+O35+P35+Q35+R35+S35)</f>
        <v>60</v>
      </c>
      <c r="U35" s="144">
        <v>5</v>
      </c>
    </row>
    <row r="36" spans="1:21">
      <c r="A36" s="218" t="s">
        <v>27</v>
      </c>
      <c r="B36" s="217" t="s">
        <v>153</v>
      </c>
      <c r="C36" s="217" t="s">
        <v>29</v>
      </c>
      <c r="D36" s="60" t="s">
        <v>81</v>
      </c>
      <c r="E36" s="209">
        <v>14</v>
      </c>
      <c r="F36" s="134">
        <v>1</v>
      </c>
      <c r="G36" s="135">
        <v>1</v>
      </c>
      <c r="H36" s="136">
        <v>45</v>
      </c>
      <c r="I36" s="144">
        <v>45</v>
      </c>
      <c r="J36" s="136">
        <v>30</v>
      </c>
      <c r="K36" s="144">
        <v>30</v>
      </c>
      <c r="L36" s="136"/>
      <c r="M36" s="144"/>
      <c r="N36" s="136"/>
      <c r="O36" s="142"/>
      <c r="P36" s="142"/>
      <c r="Q36" s="142"/>
      <c r="R36" s="142"/>
      <c r="S36" s="144"/>
      <c r="T36" s="136">
        <f t="shared" si="2"/>
        <v>75</v>
      </c>
      <c r="U36" s="144">
        <v>6</v>
      </c>
    </row>
    <row r="37" spans="1:21">
      <c r="A37" s="218" t="s">
        <v>27</v>
      </c>
      <c r="B37" s="217" t="s">
        <v>154</v>
      </c>
      <c r="C37" s="217" t="s">
        <v>29</v>
      </c>
      <c r="D37" s="60" t="s">
        <v>81</v>
      </c>
      <c r="E37" s="209">
        <v>15</v>
      </c>
      <c r="F37" s="134">
        <v>1</v>
      </c>
      <c r="G37" s="135">
        <v>1</v>
      </c>
      <c r="H37" s="136">
        <v>45</v>
      </c>
      <c r="I37" s="144">
        <v>45</v>
      </c>
      <c r="J37" s="136">
        <v>30</v>
      </c>
      <c r="K37" s="144">
        <v>30</v>
      </c>
      <c r="L37" s="136"/>
      <c r="M37" s="144"/>
      <c r="N37" s="136"/>
      <c r="O37" s="142"/>
      <c r="P37" s="142"/>
      <c r="Q37" s="142"/>
      <c r="R37" s="142"/>
      <c r="S37" s="144"/>
      <c r="T37" s="136">
        <f t="shared" si="2"/>
        <v>75</v>
      </c>
      <c r="U37" s="144">
        <v>6</v>
      </c>
    </row>
    <row r="38" spans="1:21" ht="25.5">
      <c r="A38" s="218" t="s">
        <v>27</v>
      </c>
      <c r="B38" s="217" t="s">
        <v>153</v>
      </c>
      <c r="C38" s="217" t="s">
        <v>155</v>
      </c>
      <c r="D38" s="60" t="s">
        <v>81</v>
      </c>
      <c r="E38" s="209">
        <v>14</v>
      </c>
      <c r="F38" s="134">
        <v>1</v>
      </c>
      <c r="G38" s="135">
        <v>1</v>
      </c>
      <c r="H38" s="136">
        <v>30</v>
      </c>
      <c r="I38" s="144">
        <v>30</v>
      </c>
      <c r="J38" s="136">
        <v>30</v>
      </c>
      <c r="K38" s="144">
        <v>30</v>
      </c>
      <c r="L38" s="136"/>
      <c r="M38" s="144"/>
      <c r="N38" s="136"/>
      <c r="O38" s="142"/>
      <c r="P38" s="142"/>
      <c r="Q38" s="142"/>
      <c r="R38" s="142"/>
      <c r="S38" s="144"/>
      <c r="T38" s="136">
        <f t="shared" si="2"/>
        <v>60</v>
      </c>
      <c r="U38" s="144">
        <v>5</v>
      </c>
    </row>
    <row r="39" spans="1:21" ht="25.5">
      <c r="A39" s="218" t="s">
        <v>27</v>
      </c>
      <c r="B39" s="217" t="s">
        <v>154</v>
      </c>
      <c r="C39" s="217" t="s">
        <v>155</v>
      </c>
      <c r="D39" s="60" t="s">
        <v>81</v>
      </c>
      <c r="E39" s="209">
        <v>15</v>
      </c>
      <c r="F39" s="134">
        <v>1</v>
      </c>
      <c r="G39" s="135">
        <v>1</v>
      </c>
      <c r="H39" s="136">
        <v>30</v>
      </c>
      <c r="I39" s="144">
        <v>30</v>
      </c>
      <c r="J39" s="136">
        <v>30</v>
      </c>
      <c r="K39" s="144">
        <v>30</v>
      </c>
      <c r="L39" s="136"/>
      <c r="M39" s="144"/>
      <c r="N39" s="136"/>
      <c r="O39" s="142"/>
      <c r="P39" s="142"/>
      <c r="Q39" s="142"/>
      <c r="R39" s="142"/>
      <c r="S39" s="144"/>
      <c r="T39" s="136">
        <f t="shared" si="2"/>
        <v>60</v>
      </c>
      <c r="U39" s="144">
        <v>5</v>
      </c>
    </row>
    <row r="40" spans="1:21" ht="25.5">
      <c r="A40" s="218" t="s">
        <v>27</v>
      </c>
      <c r="B40" s="217" t="s">
        <v>153</v>
      </c>
      <c r="C40" s="217" t="s">
        <v>156</v>
      </c>
      <c r="D40" s="60" t="s">
        <v>81</v>
      </c>
      <c r="E40" s="209">
        <v>14</v>
      </c>
      <c r="F40" s="134">
        <v>1</v>
      </c>
      <c r="G40" s="135">
        <v>1</v>
      </c>
      <c r="H40" s="136">
        <v>30</v>
      </c>
      <c r="I40" s="144">
        <v>30</v>
      </c>
      <c r="J40" s="136">
        <v>15</v>
      </c>
      <c r="K40" s="144">
        <v>15</v>
      </c>
      <c r="L40" s="136"/>
      <c r="M40" s="144"/>
      <c r="N40" s="136"/>
      <c r="O40" s="142"/>
      <c r="P40" s="142"/>
      <c r="Q40" s="142"/>
      <c r="R40" s="142"/>
      <c r="S40" s="144"/>
      <c r="T40" s="136">
        <f t="shared" si="2"/>
        <v>45</v>
      </c>
      <c r="U40" s="144">
        <v>4</v>
      </c>
    </row>
    <row r="41" spans="1:21" ht="25.5">
      <c r="A41" s="218" t="s">
        <v>27</v>
      </c>
      <c r="B41" s="217" t="s">
        <v>154</v>
      </c>
      <c r="C41" s="217" t="s">
        <v>156</v>
      </c>
      <c r="D41" s="60" t="s">
        <v>81</v>
      </c>
      <c r="E41" s="209">
        <v>15</v>
      </c>
      <c r="F41" s="134">
        <v>1</v>
      </c>
      <c r="G41" s="135">
        <v>1</v>
      </c>
      <c r="H41" s="136">
        <v>30</v>
      </c>
      <c r="I41" s="144">
        <v>30</v>
      </c>
      <c r="J41" s="136">
        <v>15</v>
      </c>
      <c r="K41" s="144">
        <v>15</v>
      </c>
      <c r="L41" s="136"/>
      <c r="M41" s="144"/>
      <c r="N41" s="136"/>
      <c r="O41" s="142"/>
      <c r="P41" s="142"/>
      <c r="Q41" s="142"/>
      <c r="R41" s="142"/>
      <c r="S41" s="144"/>
      <c r="T41" s="136">
        <f t="shared" si="2"/>
        <v>45</v>
      </c>
      <c r="U41" s="144">
        <v>4</v>
      </c>
    </row>
    <row r="42" spans="1:21">
      <c r="A42" s="218" t="s">
        <v>27</v>
      </c>
      <c r="B42" s="217" t="s">
        <v>153</v>
      </c>
      <c r="C42" s="217" t="s">
        <v>157</v>
      </c>
      <c r="D42" s="60" t="s">
        <v>81</v>
      </c>
      <c r="E42" s="209">
        <v>14</v>
      </c>
      <c r="F42" s="134">
        <v>1</v>
      </c>
      <c r="G42" s="135">
        <v>1</v>
      </c>
      <c r="H42" s="136">
        <v>30</v>
      </c>
      <c r="I42" s="144">
        <v>30</v>
      </c>
      <c r="J42" s="136">
        <v>15</v>
      </c>
      <c r="K42" s="144">
        <v>15</v>
      </c>
      <c r="L42" s="136"/>
      <c r="M42" s="144"/>
      <c r="N42" s="136"/>
      <c r="O42" s="142"/>
      <c r="P42" s="142"/>
      <c r="Q42" s="142"/>
      <c r="R42" s="142"/>
      <c r="S42" s="144"/>
      <c r="T42" s="136">
        <f t="shared" ref="T42:T48" si="3">(I42+K42+M42+N42+O42+P42+Q42+R42+S42)</f>
        <v>45</v>
      </c>
      <c r="U42" s="144">
        <v>4</v>
      </c>
    </row>
    <row r="43" spans="1:21">
      <c r="A43" s="218" t="s">
        <v>27</v>
      </c>
      <c r="B43" s="217" t="s">
        <v>154</v>
      </c>
      <c r="C43" s="217" t="s">
        <v>157</v>
      </c>
      <c r="D43" s="60" t="s">
        <v>81</v>
      </c>
      <c r="E43" s="209">
        <v>15</v>
      </c>
      <c r="F43" s="134">
        <v>1</v>
      </c>
      <c r="G43" s="135">
        <v>1</v>
      </c>
      <c r="H43" s="136">
        <v>30</v>
      </c>
      <c r="I43" s="144">
        <v>30</v>
      </c>
      <c r="J43" s="136">
        <v>15</v>
      </c>
      <c r="K43" s="144">
        <v>15</v>
      </c>
      <c r="L43" s="136"/>
      <c r="M43" s="144"/>
      <c r="N43" s="136"/>
      <c r="O43" s="142"/>
      <c r="P43" s="142"/>
      <c r="Q43" s="142"/>
      <c r="R43" s="142"/>
      <c r="S43" s="144"/>
      <c r="T43" s="136">
        <f t="shared" si="3"/>
        <v>45</v>
      </c>
      <c r="U43" s="144">
        <v>4</v>
      </c>
    </row>
    <row r="44" spans="1:21" ht="63.75">
      <c r="A44" s="218" t="s">
        <v>27</v>
      </c>
      <c r="B44" s="217" t="s">
        <v>153</v>
      </c>
      <c r="C44" s="217" t="s">
        <v>158</v>
      </c>
      <c r="D44" s="60" t="s">
        <v>81</v>
      </c>
      <c r="E44" s="209">
        <v>14</v>
      </c>
      <c r="F44" s="134">
        <v>1</v>
      </c>
      <c r="G44" s="135">
        <v>1</v>
      </c>
      <c r="H44" s="136">
        <v>30</v>
      </c>
      <c r="I44" s="144">
        <v>30</v>
      </c>
      <c r="J44" s="136">
        <v>30</v>
      </c>
      <c r="K44" s="144">
        <v>30</v>
      </c>
      <c r="L44" s="136"/>
      <c r="M44" s="144"/>
      <c r="N44" s="136"/>
      <c r="O44" s="142"/>
      <c r="P44" s="142"/>
      <c r="Q44" s="142"/>
      <c r="R44" s="142"/>
      <c r="S44" s="144"/>
      <c r="T44" s="136">
        <f t="shared" si="3"/>
        <v>60</v>
      </c>
      <c r="U44" s="144">
        <v>6</v>
      </c>
    </row>
    <row r="45" spans="1:21" ht="63.75">
      <c r="A45" s="218" t="s">
        <v>27</v>
      </c>
      <c r="B45" s="217" t="s">
        <v>154</v>
      </c>
      <c r="C45" s="217" t="s">
        <v>158</v>
      </c>
      <c r="D45" s="60" t="s">
        <v>81</v>
      </c>
      <c r="E45" s="209">
        <v>15</v>
      </c>
      <c r="F45" s="134">
        <v>1</v>
      </c>
      <c r="G45" s="135">
        <v>1</v>
      </c>
      <c r="H45" s="136">
        <v>30</v>
      </c>
      <c r="I45" s="144">
        <v>30</v>
      </c>
      <c r="J45" s="136">
        <v>30</v>
      </c>
      <c r="K45" s="144">
        <v>30</v>
      </c>
      <c r="L45" s="136"/>
      <c r="M45" s="144"/>
      <c r="N45" s="136"/>
      <c r="O45" s="142"/>
      <c r="P45" s="142"/>
      <c r="Q45" s="142"/>
      <c r="R45" s="142"/>
      <c r="S45" s="144"/>
      <c r="T45" s="136">
        <f t="shared" si="3"/>
        <v>60</v>
      </c>
      <c r="U45" s="144">
        <v>6</v>
      </c>
    </row>
    <row r="46" spans="1:21" ht="76.5">
      <c r="A46" s="218" t="s">
        <v>27</v>
      </c>
      <c r="B46" s="217" t="s">
        <v>153</v>
      </c>
      <c r="C46" s="217" t="s">
        <v>159</v>
      </c>
      <c r="D46" s="60" t="s">
        <v>81</v>
      </c>
      <c r="E46" s="209">
        <v>14</v>
      </c>
      <c r="F46" s="134">
        <v>1</v>
      </c>
      <c r="G46" s="135">
        <v>1</v>
      </c>
      <c r="H46" s="136">
        <v>30</v>
      </c>
      <c r="I46" s="144">
        <v>30</v>
      </c>
      <c r="J46" s="136">
        <v>30</v>
      </c>
      <c r="K46" s="144">
        <v>30</v>
      </c>
      <c r="L46" s="136"/>
      <c r="M46" s="144"/>
      <c r="N46" s="136"/>
      <c r="O46" s="142"/>
      <c r="P46" s="142"/>
      <c r="Q46" s="142"/>
      <c r="R46" s="142"/>
      <c r="S46" s="144"/>
      <c r="T46" s="136">
        <f t="shared" si="3"/>
        <v>60</v>
      </c>
      <c r="U46" s="144">
        <v>5</v>
      </c>
    </row>
    <row r="47" spans="1:21" ht="76.5">
      <c r="A47" s="218" t="s">
        <v>27</v>
      </c>
      <c r="B47" s="217" t="s">
        <v>154</v>
      </c>
      <c r="C47" s="217" t="s">
        <v>159</v>
      </c>
      <c r="D47" s="60" t="s">
        <v>81</v>
      </c>
      <c r="E47" s="209">
        <v>15</v>
      </c>
      <c r="F47" s="134">
        <v>1</v>
      </c>
      <c r="G47" s="135">
        <v>1</v>
      </c>
      <c r="H47" s="136">
        <v>30</v>
      </c>
      <c r="I47" s="144">
        <v>30</v>
      </c>
      <c r="J47" s="136">
        <v>30</v>
      </c>
      <c r="K47" s="144">
        <v>30</v>
      </c>
      <c r="L47" s="136"/>
      <c r="M47" s="144"/>
      <c r="N47" s="136"/>
      <c r="O47" s="142"/>
      <c r="P47" s="142"/>
      <c r="Q47" s="142"/>
      <c r="R47" s="142"/>
      <c r="S47" s="144"/>
      <c r="T47" s="136">
        <f t="shared" si="3"/>
        <v>60</v>
      </c>
      <c r="U47" s="144">
        <v>5</v>
      </c>
    </row>
    <row r="48" spans="1:21" ht="38.25">
      <c r="A48" s="218" t="s">
        <v>27</v>
      </c>
      <c r="B48" s="240" t="s">
        <v>160</v>
      </c>
      <c r="C48" s="71" t="s">
        <v>161</v>
      </c>
      <c r="D48" s="60" t="s">
        <v>136</v>
      </c>
      <c r="E48" s="209">
        <v>37</v>
      </c>
      <c r="F48" s="134">
        <v>1</v>
      </c>
      <c r="G48" s="135">
        <v>1</v>
      </c>
      <c r="H48" s="136">
        <v>30</v>
      </c>
      <c r="I48" s="144">
        <v>30</v>
      </c>
      <c r="J48" s="136">
        <v>15</v>
      </c>
      <c r="K48" s="144">
        <v>15</v>
      </c>
      <c r="L48" s="136"/>
      <c r="M48" s="144"/>
      <c r="N48" s="136"/>
      <c r="O48" s="142"/>
      <c r="P48" s="142"/>
      <c r="Q48" s="142"/>
      <c r="R48" s="142"/>
      <c r="S48" s="144"/>
      <c r="T48" s="136">
        <f t="shared" si="3"/>
        <v>45</v>
      </c>
      <c r="U48" s="144">
        <v>4</v>
      </c>
    </row>
    <row r="49" spans="1:21" ht="63.75">
      <c r="A49" s="218" t="s">
        <v>27</v>
      </c>
      <c r="B49" s="240" t="s">
        <v>160</v>
      </c>
      <c r="C49" s="71" t="s">
        <v>162</v>
      </c>
      <c r="D49" s="60" t="s">
        <v>136</v>
      </c>
      <c r="E49" s="209">
        <v>37</v>
      </c>
      <c r="F49" s="134">
        <v>1</v>
      </c>
      <c r="G49" s="135">
        <v>1</v>
      </c>
      <c r="H49" s="136">
        <v>30</v>
      </c>
      <c r="I49" s="144">
        <v>30</v>
      </c>
      <c r="J49" s="136">
        <v>15</v>
      </c>
      <c r="K49" s="144">
        <v>15</v>
      </c>
      <c r="L49" s="136"/>
      <c r="M49" s="144"/>
      <c r="N49" s="136"/>
      <c r="O49" s="142"/>
      <c r="P49" s="142"/>
      <c r="Q49" s="142"/>
      <c r="R49" s="142"/>
      <c r="S49" s="144"/>
      <c r="T49" s="136">
        <f t="shared" ref="T49:T65" si="4">(I49+K49+M49+N49+O49+P49+Q49+R49+S49)</f>
        <v>45</v>
      </c>
      <c r="U49" s="144">
        <v>4</v>
      </c>
    </row>
    <row r="50" spans="1:21" ht="25.5">
      <c r="A50" s="218" t="s">
        <v>27</v>
      </c>
      <c r="B50" s="217" t="s">
        <v>163</v>
      </c>
      <c r="C50" s="139" t="s">
        <v>164</v>
      </c>
      <c r="D50" s="71" t="s">
        <v>29</v>
      </c>
      <c r="E50" s="209">
        <v>13</v>
      </c>
      <c r="F50" s="134">
        <v>1</v>
      </c>
      <c r="G50" s="135">
        <v>1</v>
      </c>
      <c r="H50" s="136">
        <v>30</v>
      </c>
      <c r="I50" s="144">
        <v>30</v>
      </c>
      <c r="J50" s="136">
        <v>15</v>
      </c>
      <c r="K50" s="144">
        <v>15</v>
      </c>
      <c r="L50" s="136"/>
      <c r="M50" s="144"/>
      <c r="N50" s="136"/>
      <c r="O50" s="142"/>
      <c r="P50" s="142"/>
      <c r="Q50" s="142"/>
      <c r="R50" s="142"/>
      <c r="S50" s="144"/>
      <c r="T50" s="136">
        <f t="shared" si="4"/>
        <v>45</v>
      </c>
      <c r="U50" s="144">
        <v>4</v>
      </c>
    </row>
    <row r="51" spans="1:21" ht="25.5">
      <c r="A51" s="218" t="s">
        <v>27</v>
      </c>
      <c r="B51" s="217" t="s">
        <v>165</v>
      </c>
      <c r="C51" s="139" t="s">
        <v>164</v>
      </c>
      <c r="D51" s="71" t="s">
        <v>29</v>
      </c>
      <c r="E51" s="209">
        <v>24</v>
      </c>
      <c r="F51" s="134">
        <v>1</v>
      </c>
      <c r="G51" s="135">
        <v>1</v>
      </c>
      <c r="H51" s="136">
        <v>30</v>
      </c>
      <c r="I51" s="144">
        <v>30</v>
      </c>
      <c r="J51" s="136">
        <v>15</v>
      </c>
      <c r="K51" s="144">
        <v>15</v>
      </c>
      <c r="L51" s="136"/>
      <c r="M51" s="144"/>
      <c r="N51" s="136"/>
      <c r="O51" s="142"/>
      <c r="P51" s="142"/>
      <c r="Q51" s="142"/>
      <c r="R51" s="142"/>
      <c r="S51" s="144"/>
      <c r="T51" s="136">
        <f t="shared" si="4"/>
        <v>45</v>
      </c>
      <c r="U51" s="144">
        <v>4</v>
      </c>
    </row>
    <row r="52" spans="1:21">
      <c r="A52" s="218" t="s">
        <v>27</v>
      </c>
      <c r="B52" s="217" t="s">
        <v>163</v>
      </c>
      <c r="C52" s="217" t="s">
        <v>29</v>
      </c>
      <c r="D52" s="71" t="s">
        <v>29</v>
      </c>
      <c r="E52" s="209">
        <v>13</v>
      </c>
      <c r="F52" s="134">
        <v>1</v>
      </c>
      <c r="G52" s="135">
        <v>1</v>
      </c>
      <c r="H52" s="136">
        <v>60</v>
      </c>
      <c r="I52" s="144">
        <v>60</v>
      </c>
      <c r="J52" s="136">
        <v>30</v>
      </c>
      <c r="K52" s="144">
        <v>30</v>
      </c>
      <c r="L52" s="136"/>
      <c r="M52" s="144"/>
      <c r="N52" s="136"/>
      <c r="O52" s="142"/>
      <c r="P52" s="142"/>
      <c r="Q52" s="142"/>
      <c r="R52" s="142"/>
      <c r="S52" s="144"/>
      <c r="T52" s="136">
        <f t="shared" si="4"/>
        <v>90</v>
      </c>
      <c r="U52" s="144">
        <v>8</v>
      </c>
    </row>
    <row r="53" spans="1:21">
      <c r="A53" s="218" t="s">
        <v>27</v>
      </c>
      <c r="B53" s="217" t="s">
        <v>165</v>
      </c>
      <c r="C53" s="217" t="s">
        <v>29</v>
      </c>
      <c r="D53" s="71" t="s">
        <v>29</v>
      </c>
      <c r="E53" s="209">
        <v>24</v>
      </c>
      <c r="F53" s="134">
        <v>1</v>
      </c>
      <c r="G53" s="135">
        <v>1</v>
      </c>
      <c r="H53" s="136">
        <v>60</v>
      </c>
      <c r="I53" s="144">
        <v>60</v>
      </c>
      <c r="J53" s="136">
        <v>30</v>
      </c>
      <c r="K53" s="144">
        <v>30</v>
      </c>
      <c r="L53" s="136"/>
      <c r="M53" s="144"/>
      <c r="N53" s="136"/>
      <c r="O53" s="142"/>
      <c r="P53" s="142"/>
      <c r="Q53" s="142"/>
      <c r="R53" s="142"/>
      <c r="S53" s="144"/>
      <c r="T53" s="136">
        <f t="shared" si="4"/>
        <v>90</v>
      </c>
      <c r="U53" s="144">
        <v>8</v>
      </c>
    </row>
    <row r="54" spans="1:21" ht="51">
      <c r="A54" s="218" t="s">
        <v>27</v>
      </c>
      <c r="B54" s="217" t="s">
        <v>163</v>
      </c>
      <c r="C54" s="139" t="s">
        <v>166</v>
      </c>
      <c r="D54" s="60" t="s">
        <v>29</v>
      </c>
      <c r="E54" s="209">
        <v>13</v>
      </c>
      <c r="F54" s="134">
        <v>1</v>
      </c>
      <c r="G54" s="135">
        <v>1</v>
      </c>
      <c r="H54" s="136">
        <v>30</v>
      </c>
      <c r="I54" s="144">
        <v>30</v>
      </c>
      <c r="J54" s="136">
        <v>30</v>
      </c>
      <c r="K54" s="144">
        <v>30</v>
      </c>
      <c r="L54" s="136"/>
      <c r="M54" s="144"/>
      <c r="N54" s="136"/>
      <c r="O54" s="142"/>
      <c r="P54" s="142"/>
      <c r="Q54" s="142"/>
      <c r="R54" s="142"/>
      <c r="S54" s="144"/>
      <c r="T54" s="136">
        <f t="shared" si="4"/>
        <v>60</v>
      </c>
      <c r="U54" s="144">
        <v>5</v>
      </c>
    </row>
    <row r="55" spans="1:21" ht="51">
      <c r="A55" s="218" t="s">
        <v>27</v>
      </c>
      <c r="B55" s="217" t="s">
        <v>165</v>
      </c>
      <c r="C55" s="139" t="s">
        <v>166</v>
      </c>
      <c r="D55" s="60" t="s">
        <v>29</v>
      </c>
      <c r="E55" s="209">
        <v>24</v>
      </c>
      <c r="F55" s="134">
        <v>1</v>
      </c>
      <c r="G55" s="135">
        <v>1</v>
      </c>
      <c r="H55" s="136">
        <v>30</v>
      </c>
      <c r="I55" s="144">
        <v>30</v>
      </c>
      <c r="J55" s="136">
        <v>30</v>
      </c>
      <c r="K55" s="144">
        <v>30</v>
      </c>
      <c r="L55" s="136"/>
      <c r="M55" s="144"/>
      <c r="N55" s="136"/>
      <c r="O55" s="142"/>
      <c r="P55" s="142"/>
      <c r="Q55" s="142"/>
      <c r="R55" s="142"/>
      <c r="S55" s="144"/>
      <c r="T55" s="136">
        <f t="shared" si="4"/>
        <v>60</v>
      </c>
      <c r="U55" s="144">
        <v>5</v>
      </c>
    </row>
    <row r="56" spans="1:21" ht="76.5">
      <c r="A56" s="218" t="s">
        <v>27</v>
      </c>
      <c r="B56" s="217" t="s">
        <v>163</v>
      </c>
      <c r="C56" s="139" t="s">
        <v>167</v>
      </c>
      <c r="D56" s="60" t="s">
        <v>29</v>
      </c>
      <c r="E56" s="209">
        <v>13</v>
      </c>
      <c r="F56" s="134">
        <v>1</v>
      </c>
      <c r="G56" s="135">
        <v>1</v>
      </c>
      <c r="H56" s="136">
        <v>30</v>
      </c>
      <c r="I56" s="144">
        <v>30</v>
      </c>
      <c r="J56" s="136">
        <v>30</v>
      </c>
      <c r="K56" s="144">
        <v>30</v>
      </c>
      <c r="L56" s="136"/>
      <c r="M56" s="144"/>
      <c r="N56" s="136"/>
      <c r="O56" s="142"/>
      <c r="P56" s="142"/>
      <c r="Q56" s="142"/>
      <c r="R56" s="142"/>
      <c r="S56" s="144"/>
      <c r="T56" s="136">
        <f t="shared" si="4"/>
        <v>60</v>
      </c>
      <c r="U56" s="144">
        <v>5</v>
      </c>
    </row>
    <row r="57" spans="1:21" ht="76.5">
      <c r="A57" s="218" t="s">
        <v>27</v>
      </c>
      <c r="B57" s="217" t="s">
        <v>165</v>
      </c>
      <c r="C57" s="249" t="s">
        <v>168</v>
      </c>
      <c r="D57" s="60" t="s">
        <v>29</v>
      </c>
      <c r="E57" s="209">
        <v>24</v>
      </c>
      <c r="F57" s="134">
        <v>1</v>
      </c>
      <c r="G57" s="135">
        <v>1</v>
      </c>
      <c r="H57" s="136">
        <v>30</v>
      </c>
      <c r="I57" s="144">
        <v>30</v>
      </c>
      <c r="J57" s="136">
        <v>30</v>
      </c>
      <c r="K57" s="144">
        <v>30</v>
      </c>
      <c r="L57" s="136"/>
      <c r="M57" s="144"/>
      <c r="N57" s="136"/>
      <c r="O57" s="142"/>
      <c r="P57" s="142"/>
      <c r="Q57" s="142"/>
      <c r="R57" s="142"/>
      <c r="S57" s="144"/>
      <c r="T57" s="136">
        <f t="shared" si="4"/>
        <v>60</v>
      </c>
      <c r="U57" s="144">
        <v>5</v>
      </c>
    </row>
    <row r="58" spans="1:21" ht="76.5">
      <c r="A58" s="218" t="s">
        <v>27</v>
      </c>
      <c r="B58" s="217" t="s">
        <v>163</v>
      </c>
      <c r="C58" s="139" t="s">
        <v>169</v>
      </c>
      <c r="D58" s="60" t="s">
        <v>29</v>
      </c>
      <c r="E58" s="209">
        <v>13</v>
      </c>
      <c r="F58" s="134">
        <v>1</v>
      </c>
      <c r="G58" s="135">
        <v>1</v>
      </c>
      <c r="H58" s="136">
        <v>30</v>
      </c>
      <c r="I58" s="144">
        <v>30</v>
      </c>
      <c r="J58" s="136">
        <v>15</v>
      </c>
      <c r="K58" s="144">
        <v>15</v>
      </c>
      <c r="L58" s="136"/>
      <c r="M58" s="144"/>
      <c r="N58" s="136"/>
      <c r="O58" s="142"/>
      <c r="P58" s="142"/>
      <c r="Q58" s="142"/>
      <c r="R58" s="142"/>
      <c r="S58" s="144"/>
      <c r="T58" s="136">
        <f t="shared" si="4"/>
        <v>45</v>
      </c>
      <c r="U58" s="144">
        <v>4</v>
      </c>
    </row>
    <row r="59" spans="1:21" ht="76.5">
      <c r="A59" s="218" t="s">
        <v>27</v>
      </c>
      <c r="B59" s="217" t="s">
        <v>165</v>
      </c>
      <c r="C59" s="139" t="s">
        <v>169</v>
      </c>
      <c r="D59" s="60" t="s">
        <v>29</v>
      </c>
      <c r="E59" s="209">
        <v>24</v>
      </c>
      <c r="F59" s="134">
        <v>1</v>
      </c>
      <c r="G59" s="135">
        <v>1</v>
      </c>
      <c r="H59" s="136">
        <v>30</v>
      </c>
      <c r="I59" s="144">
        <v>30</v>
      </c>
      <c r="J59" s="136">
        <v>15</v>
      </c>
      <c r="K59" s="144">
        <v>15</v>
      </c>
      <c r="L59" s="136"/>
      <c r="M59" s="144"/>
      <c r="N59" s="136"/>
      <c r="O59" s="142"/>
      <c r="P59" s="142"/>
      <c r="Q59" s="142"/>
      <c r="R59" s="142"/>
      <c r="S59" s="144"/>
      <c r="T59" s="136">
        <f t="shared" si="4"/>
        <v>45</v>
      </c>
      <c r="U59" s="144">
        <v>4</v>
      </c>
    </row>
    <row r="60" spans="1:21" ht="25.5">
      <c r="A60" s="218" t="s">
        <v>27</v>
      </c>
      <c r="B60" s="219" t="s">
        <v>170</v>
      </c>
      <c r="C60" s="217" t="s">
        <v>171</v>
      </c>
      <c r="D60" s="60" t="s">
        <v>81</v>
      </c>
      <c r="E60" s="209">
        <v>18</v>
      </c>
      <c r="F60" s="134">
        <v>1</v>
      </c>
      <c r="G60" s="135">
        <v>1</v>
      </c>
      <c r="H60" s="136">
        <v>45</v>
      </c>
      <c r="I60" s="144">
        <v>45</v>
      </c>
      <c r="J60" s="136">
        <v>45</v>
      </c>
      <c r="K60" s="144">
        <v>45</v>
      </c>
      <c r="L60" s="136"/>
      <c r="M60" s="144"/>
      <c r="N60" s="136"/>
      <c r="O60" s="142"/>
      <c r="P60" s="142"/>
      <c r="Q60" s="142"/>
      <c r="R60" s="142"/>
      <c r="S60" s="144"/>
      <c r="T60" s="136">
        <f t="shared" si="4"/>
        <v>90</v>
      </c>
      <c r="U60" s="144">
        <v>8</v>
      </c>
    </row>
    <row r="61" spans="1:21" ht="25.5">
      <c r="A61" s="218" t="s">
        <v>27</v>
      </c>
      <c r="B61" s="240" t="s">
        <v>172</v>
      </c>
      <c r="C61" s="217" t="s">
        <v>171</v>
      </c>
      <c r="D61" s="60" t="s">
        <v>81</v>
      </c>
      <c r="E61" s="209">
        <v>15</v>
      </c>
      <c r="F61" s="134">
        <v>1</v>
      </c>
      <c r="G61" s="135">
        <v>1</v>
      </c>
      <c r="H61" s="136">
        <v>45</v>
      </c>
      <c r="I61" s="144">
        <v>45</v>
      </c>
      <c r="J61" s="136">
        <v>45</v>
      </c>
      <c r="K61" s="144">
        <v>45</v>
      </c>
      <c r="L61" s="136"/>
      <c r="M61" s="144"/>
      <c r="N61" s="136"/>
      <c r="O61" s="142"/>
      <c r="P61" s="142"/>
      <c r="Q61" s="142"/>
      <c r="R61" s="142"/>
      <c r="S61" s="144"/>
      <c r="T61" s="136">
        <f t="shared" si="4"/>
        <v>90</v>
      </c>
      <c r="U61" s="144">
        <v>8</v>
      </c>
    </row>
    <row r="62" spans="1:21">
      <c r="A62" s="218" t="s">
        <v>27</v>
      </c>
      <c r="B62" s="219" t="s">
        <v>170</v>
      </c>
      <c r="C62" s="217" t="s">
        <v>173</v>
      </c>
      <c r="D62" s="60" t="s">
        <v>81</v>
      </c>
      <c r="E62" s="209">
        <v>18</v>
      </c>
      <c r="F62" s="134">
        <v>1</v>
      </c>
      <c r="G62" s="135">
        <v>1</v>
      </c>
      <c r="H62" s="136">
        <v>30</v>
      </c>
      <c r="I62" s="144">
        <v>30</v>
      </c>
      <c r="J62" s="136">
        <v>30</v>
      </c>
      <c r="K62" s="144">
        <v>30</v>
      </c>
      <c r="L62" s="136"/>
      <c r="M62" s="144"/>
      <c r="N62" s="136"/>
      <c r="O62" s="142"/>
      <c r="P62" s="142"/>
      <c r="Q62" s="142"/>
      <c r="R62" s="142"/>
      <c r="S62" s="144"/>
      <c r="T62" s="136">
        <f t="shared" si="4"/>
        <v>60</v>
      </c>
      <c r="U62" s="144">
        <v>5</v>
      </c>
    </row>
    <row r="63" spans="1:21">
      <c r="A63" s="218" t="s">
        <v>27</v>
      </c>
      <c r="B63" s="240" t="s">
        <v>172</v>
      </c>
      <c r="C63" s="217" t="s">
        <v>173</v>
      </c>
      <c r="D63" s="60" t="s">
        <v>81</v>
      </c>
      <c r="E63" s="209">
        <v>15</v>
      </c>
      <c r="F63" s="134">
        <v>1</v>
      </c>
      <c r="G63" s="135">
        <v>1</v>
      </c>
      <c r="H63" s="136">
        <v>30</v>
      </c>
      <c r="I63" s="144">
        <v>30</v>
      </c>
      <c r="J63" s="136">
        <v>30</v>
      </c>
      <c r="K63" s="144">
        <v>30</v>
      </c>
      <c r="L63" s="136"/>
      <c r="M63" s="144"/>
      <c r="N63" s="136"/>
      <c r="O63" s="142"/>
      <c r="P63" s="142"/>
      <c r="Q63" s="142"/>
      <c r="R63" s="142"/>
      <c r="S63" s="144"/>
      <c r="T63" s="136">
        <f t="shared" si="4"/>
        <v>60</v>
      </c>
      <c r="U63" s="144">
        <v>5</v>
      </c>
    </row>
    <row r="64" spans="1:21" ht="76.5">
      <c r="A64" s="218" t="s">
        <v>27</v>
      </c>
      <c r="B64" s="219" t="s">
        <v>170</v>
      </c>
      <c r="C64" s="217" t="s">
        <v>174</v>
      </c>
      <c r="D64" s="60" t="s">
        <v>81</v>
      </c>
      <c r="E64" s="209">
        <v>18</v>
      </c>
      <c r="F64" s="134">
        <v>1</v>
      </c>
      <c r="G64" s="135">
        <v>1</v>
      </c>
      <c r="H64" s="136">
        <v>45</v>
      </c>
      <c r="I64" s="144">
        <v>45</v>
      </c>
      <c r="J64" s="136">
        <v>30</v>
      </c>
      <c r="K64" s="144">
        <v>30</v>
      </c>
      <c r="L64" s="136"/>
      <c r="M64" s="144"/>
      <c r="N64" s="136"/>
      <c r="O64" s="142"/>
      <c r="P64" s="142"/>
      <c r="Q64" s="142"/>
      <c r="R64" s="142"/>
      <c r="S64" s="144"/>
      <c r="T64" s="136">
        <f t="shared" si="4"/>
        <v>75</v>
      </c>
      <c r="U64" s="144">
        <v>6</v>
      </c>
    </row>
    <row r="65" spans="1:21" ht="76.5">
      <c r="A65" s="218" t="s">
        <v>27</v>
      </c>
      <c r="B65" s="240" t="s">
        <v>172</v>
      </c>
      <c r="C65" s="217" t="s">
        <v>174</v>
      </c>
      <c r="D65" s="60" t="s">
        <v>81</v>
      </c>
      <c r="E65" s="209">
        <v>15</v>
      </c>
      <c r="F65" s="134">
        <v>1</v>
      </c>
      <c r="G65" s="135">
        <v>1</v>
      </c>
      <c r="H65" s="136">
        <v>45</v>
      </c>
      <c r="I65" s="144">
        <v>45</v>
      </c>
      <c r="J65" s="136">
        <v>30</v>
      </c>
      <c r="K65" s="144">
        <v>30</v>
      </c>
      <c r="L65" s="136"/>
      <c r="M65" s="144"/>
      <c r="N65" s="136"/>
      <c r="O65" s="142"/>
      <c r="P65" s="142"/>
      <c r="Q65" s="142"/>
      <c r="R65" s="142"/>
      <c r="S65" s="144"/>
      <c r="T65" s="136">
        <f t="shared" si="4"/>
        <v>75</v>
      </c>
      <c r="U65" s="144">
        <v>6</v>
      </c>
    </row>
    <row r="66" spans="1:21" ht="76.5">
      <c r="A66" s="218" t="s">
        <v>27</v>
      </c>
      <c r="B66" s="219" t="s">
        <v>170</v>
      </c>
      <c r="C66" s="217" t="s">
        <v>175</v>
      </c>
      <c r="D66" s="60" t="s">
        <v>81</v>
      </c>
      <c r="E66" s="209">
        <v>18</v>
      </c>
      <c r="F66" s="134">
        <v>1</v>
      </c>
      <c r="G66" s="135">
        <v>1</v>
      </c>
      <c r="H66" s="136">
        <v>45</v>
      </c>
      <c r="I66" s="144">
        <v>45</v>
      </c>
      <c r="J66" s="136">
        <v>30</v>
      </c>
      <c r="K66" s="144">
        <v>30</v>
      </c>
      <c r="L66" s="136"/>
      <c r="M66" s="144"/>
      <c r="N66" s="136"/>
      <c r="O66" s="142"/>
      <c r="P66" s="142"/>
      <c r="Q66" s="142"/>
      <c r="R66" s="142"/>
      <c r="S66" s="144"/>
      <c r="T66" s="136">
        <f t="shared" ref="T66:T75" si="5">(I66+K66+M66+N66+O66+P66+Q66+R66+S66)</f>
        <v>75</v>
      </c>
      <c r="U66" s="144">
        <v>7</v>
      </c>
    </row>
    <row r="67" spans="1:21" ht="76.5">
      <c r="A67" s="218" t="s">
        <v>27</v>
      </c>
      <c r="B67" s="240" t="s">
        <v>172</v>
      </c>
      <c r="C67" s="217" t="s">
        <v>175</v>
      </c>
      <c r="D67" s="60" t="s">
        <v>81</v>
      </c>
      <c r="E67" s="209">
        <v>15</v>
      </c>
      <c r="F67" s="134">
        <v>1</v>
      </c>
      <c r="G67" s="135">
        <v>1</v>
      </c>
      <c r="H67" s="136">
        <v>45</v>
      </c>
      <c r="I67" s="144">
        <v>45</v>
      </c>
      <c r="J67" s="136">
        <v>30</v>
      </c>
      <c r="K67" s="144">
        <v>30</v>
      </c>
      <c r="L67" s="136"/>
      <c r="M67" s="144"/>
      <c r="N67" s="136"/>
      <c r="O67" s="142"/>
      <c r="P67" s="142"/>
      <c r="Q67" s="142"/>
      <c r="R67" s="142"/>
      <c r="S67" s="144"/>
      <c r="T67" s="136">
        <f t="shared" si="5"/>
        <v>75</v>
      </c>
      <c r="U67" s="144">
        <v>7</v>
      </c>
    </row>
    <row r="68" spans="1:21">
      <c r="A68" s="218" t="s">
        <v>27</v>
      </c>
      <c r="B68" s="217" t="s">
        <v>28</v>
      </c>
      <c r="C68" s="247" t="s">
        <v>176</v>
      </c>
      <c r="D68" s="60" t="s">
        <v>29</v>
      </c>
      <c r="E68" s="209">
        <v>20</v>
      </c>
      <c r="F68" s="134">
        <v>1</v>
      </c>
      <c r="G68" s="135">
        <v>1</v>
      </c>
      <c r="H68" s="136">
        <v>30</v>
      </c>
      <c r="I68" s="144">
        <v>30</v>
      </c>
      <c r="J68" s="136">
        <v>15</v>
      </c>
      <c r="K68" s="144">
        <v>15</v>
      </c>
      <c r="L68" s="136"/>
      <c r="M68" s="144"/>
      <c r="N68" s="136"/>
      <c r="O68" s="142"/>
      <c r="P68" s="142"/>
      <c r="Q68" s="142"/>
      <c r="R68" s="142"/>
      <c r="S68" s="144"/>
      <c r="T68" s="136">
        <f t="shared" si="5"/>
        <v>45</v>
      </c>
      <c r="U68" s="144">
        <v>4</v>
      </c>
    </row>
    <row r="69" spans="1:21">
      <c r="A69" s="218" t="s">
        <v>27</v>
      </c>
      <c r="B69" s="217" t="s">
        <v>30</v>
      </c>
      <c r="C69" s="247" t="s">
        <v>176</v>
      </c>
      <c r="D69" s="60" t="s">
        <v>29</v>
      </c>
      <c r="E69" s="209">
        <v>18</v>
      </c>
      <c r="F69" s="134">
        <v>1</v>
      </c>
      <c r="G69" s="135">
        <v>1</v>
      </c>
      <c r="H69" s="136">
        <v>30</v>
      </c>
      <c r="I69" s="144">
        <v>30</v>
      </c>
      <c r="J69" s="136">
        <v>15</v>
      </c>
      <c r="K69" s="144">
        <v>15</v>
      </c>
      <c r="L69" s="136"/>
      <c r="M69" s="144"/>
      <c r="N69" s="136"/>
      <c r="O69" s="142"/>
      <c r="P69" s="142"/>
      <c r="Q69" s="142"/>
      <c r="R69" s="142"/>
      <c r="S69" s="144"/>
      <c r="T69" s="136">
        <f t="shared" si="5"/>
        <v>45</v>
      </c>
      <c r="U69" s="144">
        <v>4</v>
      </c>
    </row>
    <row r="70" spans="1:21">
      <c r="A70" s="218" t="s">
        <v>27</v>
      </c>
      <c r="B70" s="217" t="s">
        <v>28</v>
      </c>
      <c r="C70" s="247" t="s">
        <v>177</v>
      </c>
      <c r="D70" s="60" t="s">
        <v>29</v>
      </c>
      <c r="E70" s="209">
        <v>20</v>
      </c>
      <c r="F70" s="134">
        <v>1</v>
      </c>
      <c r="G70" s="135">
        <v>1</v>
      </c>
      <c r="H70" s="136">
        <v>30</v>
      </c>
      <c r="I70" s="144">
        <v>30</v>
      </c>
      <c r="J70" s="136">
        <v>15</v>
      </c>
      <c r="K70" s="144">
        <v>15</v>
      </c>
      <c r="L70" s="136"/>
      <c r="M70" s="144"/>
      <c r="N70" s="136"/>
      <c r="O70" s="142"/>
      <c r="P70" s="142"/>
      <c r="Q70" s="142"/>
      <c r="R70" s="142"/>
      <c r="S70" s="144"/>
      <c r="T70" s="136">
        <f t="shared" si="5"/>
        <v>45</v>
      </c>
      <c r="U70" s="144">
        <v>4</v>
      </c>
    </row>
    <row r="71" spans="1:21">
      <c r="A71" s="218" t="s">
        <v>27</v>
      </c>
      <c r="B71" s="217" t="s">
        <v>30</v>
      </c>
      <c r="C71" s="247" t="s">
        <v>177</v>
      </c>
      <c r="D71" s="60" t="s">
        <v>29</v>
      </c>
      <c r="E71" s="209">
        <v>18</v>
      </c>
      <c r="F71" s="134">
        <v>1</v>
      </c>
      <c r="G71" s="135">
        <v>1</v>
      </c>
      <c r="H71" s="136">
        <v>30</v>
      </c>
      <c r="I71" s="144">
        <v>30</v>
      </c>
      <c r="J71" s="136">
        <v>15</v>
      </c>
      <c r="K71" s="144">
        <v>15</v>
      </c>
      <c r="L71" s="136"/>
      <c r="M71" s="144"/>
      <c r="N71" s="136"/>
      <c r="O71" s="142"/>
      <c r="P71" s="142"/>
      <c r="Q71" s="142"/>
      <c r="R71" s="142"/>
      <c r="S71" s="144"/>
      <c r="T71" s="136">
        <f t="shared" si="5"/>
        <v>45</v>
      </c>
      <c r="U71" s="144">
        <v>4</v>
      </c>
    </row>
    <row r="72" spans="1:21">
      <c r="A72" s="218" t="s">
        <v>27</v>
      </c>
      <c r="B72" s="217" t="s">
        <v>28</v>
      </c>
      <c r="C72" s="247" t="s">
        <v>178</v>
      </c>
      <c r="D72" s="60" t="s">
        <v>29</v>
      </c>
      <c r="E72" s="209">
        <v>20</v>
      </c>
      <c r="F72" s="134">
        <v>1</v>
      </c>
      <c r="G72" s="135">
        <v>1</v>
      </c>
      <c r="H72" s="136">
        <v>60</v>
      </c>
      <c r="I72" s="144">
        <v>60</v>
      </c>
      <c r="J72" s="136">
        <v>30</v>
      </c>
      <c r="K72" s="144">
        <v>30</v>
      </c>
      <c r="L72" s="136"/>
      <c r="M72" s="144"/>
      <c r="N72" s="136"/>
      <c r="O72" s="142"/>
      <c r="P72" s="142"/>
      <c r="Q72" s="142"/>
      <c r="R72" s="142"/>
      <c r="S72" s="144"/>
      <c r="T72" s="136">
        <f t="shared" si="5"/>
        <v>90</v>
      </c>
      <c r="U72" s="144">
        <v>8</v>
      </c>
    </row>
    <row r="73" spans="1:21">
      <c r="A73" s="218" t="s">
        <v>27</v>
      </c>
      <c r="B73" s="217" t="s">
        <v>30</v>
      </c>
      <c r="C73" s="247" t="s">
        <v>178</v>
      </c>
      <c r="D73" s="60" t="s">
        <v>29</v>
      </c>
      <c r="E73" s="209">
        <v>18</v>
      </c>
      <c r="F73" s="134">
        <v>1</v>
      </c>
      <c r="G73" s="135">
        <v>1</v>
      </c>
      <c r="H73" s="136">
        <v>60</v>
      </c>
      <c r="I73" s="144">
        <v>60</v>
      </c>
      <c r="J73" s="136">
        <v>30</v>
      </c>
      <c r="K73" s="144">
        <v>30</v>
      </c>
      <c r="L73" s="136"/>
      <c r="M73" s="144"/>
      <c r="N73" s="136"/>
      <c r="O73" s="142"/>
      <c r="P73" s="142"/>
      <c r="Q73" s="142"/>
      <c r="R73" s="142"/>
      <c r="S73" s="144"/>
      <c r="T73" s="136">
        <f t="shared" si="5"/>
        <v>90</v>
      </c>
      <c r="U73" s="144">
        <v>8</v>
      </c>
    </row>
    <row r="74" spans="1:21" ht="76.5">
      <c r="A74" s="218" t="s">
        <v>27</v>
      </c>
      <c r="B74" s="217" t="s">
        <v>28</v>
      </c>
      <c r="C74" s="217" t="s">
        <v>179</v>
      </c>
      <c r="D74" s="60" t="s">
        <v>29</v>
      </c>
      <c r="E74" s="209">
        <v>20</v>
      </c>
      <c r="F74" s="134">
        <v>1</v>
      </c>
      <c r="G74" s="135">
        <v>1</v>
      </c>
      <c r="H74" s="136">
        <v>30</v>
      </c>
      <c r="I74" s="144">
        <v>30</v>
      </c>
      <c r="J74" s="136">
        <v>30</v>
      </c>
      <c r="K74" s="144">
        <v>30</v>
      </c>
      <c r="L74" s="136"/>
      <c r="M74" s="144"/>
      <c r="N74" s="136"/>
      <c r="O74" s="142"/>
      <c r="P74" s="142"/>
      <c r="Q74" s="142"/>
      <c r="R74" s="142"/>
      <c r="S74" s="144"/>
      <c r="T74" s="136">
        <f t="shared" si="5"/>
        <v>60</v>
      </c>
      <c r="U74" s="144">
        <v>5</v>
      </c>
    </row>
    <row r="75" spans="1:21" ht="76.5">
      <c r="A75" s="218" t="s">
        <v>27</v>
      </c>
      <c r="B75" s="217" t="s">
        <v>30</v>
      </c>
      <c r="C75" s="217" t="s">
        <v>179</v>
      </c>
      <c r="D75" s="60" t="s">
        <v>29</v>
      </c>
      <c r="E75" s="209">
        <v>18</v>
      </c>
      <c r="F75" s="134">
        <v>1</v>
      </c>
      <c r="G75" s="135">
        <v>1</v>
      </c>
      <c r="H75" s="136">
        <v>30</v>
      </c>
      <c r="I75" s="144">
        <v>30</v>
      </c>
      <c r="J75" s="136">
        <v>30</v>
      </c>
      <c r="K75" s="144">
        <v>30</v>
      </c>
      <c r="L75" s="136"/>
      <c r="M75" s="144"/>
      <c r="N75" s="136"/>
      <c r="O75" s="142"/>
      <c r="P75" s="142"/>
      <c r="Q75" s="142"/>
      <c r="R75" s="142"/>
      <c r="S75" s="144"/>
      <c r="T75" s="136">
        <f t="shared" si="5"/>
        <v>60</v>
      </c>
      <c r="U75" s="144">
        <v>5</v>
      </c>
    </row>
    <row r="76" spans="1:21" ht="25.5">
      <c r="A76" s="57" t="s">
        <v>27</v>
      </c>
      <c r="B76" s="27" t="s">
        <v>90</v>
      </c>
      <c r="C76" s="27" t="s">
        <v>81</v>
      </c>
      <c r="D76" s="28" t="s">
        <v>180</v>
      </c>
      <c r="E76" s="29">
        <v>20</v>
      </c>
      <c r="F76" s="30">
        <v>1</v>
      </c>
      <c r="G76" s="31">
        <v>1</v>
      </c>
      <c r="H76" s="32">
        <v>15</v>
      </c>
      <c r="I76" s="43">
        <v>15</v>
      </c>
      <c r="J76" s="32">
        <v>15</v>
      </c>
      <c r="K76" s="43">
        <v>15</v>
      </c>
      <c r="L76" s="32"/>
      <c r="M76" s="43"/>
      <c r="N76" s="32"/>
      <c r="O76" s="44"/>
      <c r="P76" s="44"/>
      <c r="Q76" s="44"/>
      <c r="R76" s="44"/>
      <c r="S76" s="43"/>
      <c r="T76" s="32">
        <f t="shared" ref="T76:T87" si="6">(I76+K76+M76+N76+O76+P76+Q76+R76+S76)</f>
        <v>30</v>
      </c>
      <c r="U76" s="43">
        <v>4</v>
      </c>
    </row>
    <row r="77" spans="1:21" ht="25.5">
      <c r="A77" s="57" t="s">
        <v>27</v>
      </c>
      <c r="B77" s="27" t="s">
        <v>90</v>
      </c>
      <c r="C77" s="27" t="s">
        <v>181</v>
      </c>
      <c r="D77" s="28" t="s">
        <v>180</v>
      </c>
      <c r="E77" s="29">
        <v>20</v>
      </c>
      <c r="F77" s="30">
        <v>1</v>
      </c>
      <c r="G77" s="31">
        <v>1</v>
      </c>
      <c r="H77" s="32">
        <v>45</v>
      </c>
      <c r="I77" s="43">
        <v>45</v>
      </c>
      <c r="J77" s="32"/>
      <c r="K77" s="43"/>
      <c r="L77" s="32">
        <v>30</v>
      </c>
      <c r="M77" s="43">
        <v>30</v>
      </c>
      <c r="N77" s="32"/>
      <c r="O77" s="44"/>
      <c r="P77" s="44"/>
      <c r="Q77" s="44"/>
      <c r="R77" s="44"/>
      <c r="S77" s="43"/>
      <c r="T77" s="32">
        <f t="shared" si="6"/>
        <v>75</v>
      </c>
      <c r="U77" s="43">
        <v>7</v>
      </c>
    </row>
    <row r="78" spans="1:21" ht="76.5">
      <c r="A78" s="218" t="s">
        <v>27</v>
      </c>
      <c r="B78" s="217" t="s">
        <v>28</v>
      </c>
      <c r="C78" s="217" t="s">
        <v>182</v>
      </c>
      <c r="D78" s="60" t="s">
        <v>29</v>
      </c>
      <c r="E78" s="209">
        <v>20</v>
      </c>
      <c r="F78" s="134">
        <v>1</v>
      </c>
      <c r="G78" s="135">
        <v>1</v>
      </c>
      <c r="H78" s="136">
        <v>30</v>
      </c>
      <c r="I78" s="144">
        <v>30</v>
      </c>
      <c r="J78" s="136">
        <v>30</v>
      </c>
      <c r="K78" s="144">
        <v>30</v>
      </c>
      <c r="L78" s="136"/>
      <c r="M78" s="144"/>
      <c r="N78" s="136"/>
      <c r="O78" s="142"/>
      <c r="P78" s="142"/>
      <c r="Q78" s="142"/>
      <c r="R78" s="142"/>
      <c r="S78" s="144"/>
      <c r="T78" s="136">
        <f t="shared" si="6"/>
        <v>60</v>
      </c>
      <c r="U78" s="144">
        <v>5</v>
      </c>
    </row>
    <row r="79" spans="1:21" ht="76.5">
      <c r="A79" s="218" t="s">
        <v>27</v>
      </c>
      <c r="B79" s="217" t="s">
        <v>30</v>
      </c>
      <c r="C79" s="217" t="s">
        <v>182</v>
      </c>
      <c r="D79" s="60" t="s">
        <v>29</v>
      </c>
      <c r="E79" s="209">
        <v>18</v>
      </c>
      <c r="F79" s="134">
        <v>1</v>
      </c>
      <c r="G79" s="135">
        <v>1</v>
      </c>
      <c r="H79" s="136">
        <v>30</v>
      </c>
      <c r="I79" s="144">
        <v>30</v>
      </c>
      <c r="J79" s="136">
        <v>30</v>
      </c>
      <c r="K79" s="144">
        <v>30</v>
      </c>
      <c r="L79" s="136"/>
      <c r="M79" s="144"/>
      <c r="N79" s="136"/>
      <c r="O79" s="142"/>
      <c r="P79" s="142"/>
      <c r="Q79" s="142"/>
      <c r="R79" s="142"/>
      <c r="S79" s="144"/>
      <c r="T79" s="136">
        <f t="shared" si="6"/>
        <v>60</v>
      </c>
      <c r="U79" s="144">
        <v>5</v>
      </c>
    </row>
    <row r="80" spans="1:21">
      <c r="A80" s="218" t="s">
        <v>27</v>
      </c>
      <c r="B80" s="217" t="s">
        <v>183</v>
      </c>
      <c r="C80" s="217" t="s">
        <v>138</v>
      </c>
      <c r="D80" s="71" t="s">
        <v>29</v>
      </c>
      <c r="E80" s="209">
        <v>9</v>
      </c>
      <c r="F80" s="134">
        <v>1</v>
      </c>
      <c r="G80" s="135">
        <v>1</v>
      </c>
      <c r="H80" s="136">
        <v>10</v>
      </c>
      <c r="I80" s="144">
        <v>10</v>
      </c>
      <c r="J80" s="136">
        <v>5</v>
      </c>
      <c r="K80" s="144">
        <v>5</v>
      </c>
      <c r="L80" s="136"/>
      <c r="M80" s="144"/>
      <c r="N80" s="136"/>
      <c r="O80" s="142"/>
      <c r="P80" s="142"/>
      <c r="Q80" s="142"/>
      <c r="R80" s="142"/>
      <c r="S80" s="144"/>
      <c r="T80" s="136">
        <f t="shared" si="6"/>
        <v>15</v>
      </c>
      <c r="U80" s="144">
        <v>4</v>
      </c>
    </row>
    <row r="81" spans="1:21">
      <c r="A81" s="218" t="s">
        <v>27</v>
      </c>
      <c r="B81" s="217" t="s">
        <v>183</v>
      </c>
      <c r="C81" s="217" t="s">
        <v>150</v>
      </c>
      <c r="D81" s="71" t="s">
        <v>29</v>
      </c>
      <c r="E81" s="209">
        <v>9</v>
      </c>
      <c r="F81" s="134">
        <v>1</v>
      </c>
      <c r="G81" s="135">
        <v>1</v>
      </c>
      <c r="H81" s="136">
        <v>15</v>
      </c>
      <c r="I81" s="144">
        <v>15</v>
      </c>
      <c r="J81" s="136">
        <v>5</v>
      </c>
      <c r="K81" s="144">
        <v>5</v>
      </c>
      <c r="L81" s="136">
        <v>10</v>
      </c>
      <c r="M81" s="144">
        <v>10</v>
      </c>
      <c r="N81" s="136"/>
      <c r="O81" s="142"/>
      <c r="P81" s="142"/>
      <c r="Q81" s="142"/>
      <c r="R81" s="142"/>
      <c r="S81" s="144"/>
      <c r="T81" s="136">
        <f t="shared" si="6"/>
        <v>30</v>
      </c>
      <c r="U81" s="144">
        <v>8</v>
      </c>
    </row>
    <row r="82" spans="1:21">
      <c r="A82" s="218" t="s">
        <v>27</v>
      </c>
      <c r="B82" s="215" t="s">
        <v>184</v>
      </c>
      <c r="C82" s="217" t="s">
        <v>185</v>
      </c>
      <c r="D82" s="71" t="s">
        <v>29</v>
      </c>
      <c r="E82" s="209">
        <v>10</v>
      </c>
      <c r="F82" s="134">
        <v>1</v>
      </c>
      <c r="G82" s="135">
        <v>1</v>
      </c>
      <c r="H82" s="136">
        <v>10</v>
      </c>
      <c r="I82" s="144">
        <v>10</v>
      </c>
      <c r="J82" s="136">
        <v>2</v>
      </c>
      <c r="K82" s="144">
        <v>2</v>
      </c>
      <c r="L82" s="136">
        <v>3</v>
      </c>
      <c r="M82" s="144">
        <v>3</v>
      </c>
      <c r="N82" s="136"/>
      <c r="O82" s="142"/>
      <c r="P82" s="142"/>
      <c r="Q82" s="142"/>
      <c r="R82" s="142"/>
      <c r="S82" s="144"/>
      <c r="T82" s="136">
        <f t="shared" si="6"/>
        <v>15</v>
      </c>
      <c r="U82" s="144">
        <v>4</v>
      </c>
    </row>
    <row r="83" spans="1:21">
      <c r="A83" s="218" t="s">
        <v>27</v>
      </c>
      <c r="B83" s="215" t="s">
        <v>184</v>
      </c>
      <c r="C83" s="217" t="s">
        <v>186</v>
      </c>
      <c r="D83" s="71" t="s">
        <v>29</v>
      </c>
      <c r="E83" s="209">
        <v>10</v>
      </c>
      <c r="F83" s="134">
        <v>1</v>
      </c>
      <c r="G83" s="135">
        <v>1</v>
      </c>
      <c r="H83" s="136">
        <v>20</v>
      </c>
      <c r="I83" s="144">
        <v>20</v>
      </c>
      <c r="J83" s="136">
        <v>10</v>
      </c>
      <c r="K83" s="144">
        <v>10</v>
      </c>
      <c r="L83" s="136"/>
      <c r="M83" s="144"/>
      <c r="N83" s="136"/>
      <c r="O83" s="142"/>
      <c r="P83" s="142"/>
      <c r="Q83" s="142"/>
      <c r="R83" s="142"/>
      <c r="S83" s="144"/>
      <c r="T83" s="136">
        <f t="shared" si="6"/>
        <v>30</v>
      </c>
      <c r="U83" s="144">
        <v>8</v>
      </c>
    </row>
    <row r="84" spans="1:21" ht="51">
      <c r="A84" s="218" t="s">
        <v>27</v>
      </c>
      <c r="B84" s="215" t="s">
        <v>184</v>
      </c>
      <c r="C84" s="139" t="s">
        <v>152</v>
      </c>
      <c r="D84" s="71" t="s">
        <v>29</v>
      </c>
      <c r="E84" s="209">
        <v>10</v>
      </c>
      <c r="F84" s="134">
        <v>1</v>
      </c>
      <c r="G84" s="135">
        <v>1</v>
      </c>
      <c r="H84" s="136">
        <v>10</v>
      </c>
      <c r="I84" s="144">
        <v>10</v>
      </c>
      <c r="J84" s="136">
        <v>10</v>
      </c>
      <c r="K84" s="144">
        <v>10</v>
      </c>
      <c r="L84" s="136"/>
      <c r="M84" s="144"/>
      <c r="N84" s="136"/>
      <c r="O84" s="142"/>
      <c r="P84" s="142"/>
      <c r="Q84" s="142"/>
      <c r="R84" s="142"/>
      <c r="S84" s="144"/>
      <c r="T84" s="136">
        <f t="shared" si="6"/>
        <v>20</v>
      </c>
      <c r="U84" s="144">
        <v>5</v>
      </c>
    </row>
    <row r="85" spans="1:21">
      <c r="A85" s="218" t="s">
        <v>27</v>
      </c>
      <c r="B85" s="227" t="s">
        <v>187</v>
      </c>
      <c r="C85" s="227" t="s">
        <v>188</v>
      </c>
      <c r="D85" s="250" t="s">
        <v>29</v>
      </c>
      <c r="E85" s="229">
        <v>7</v>
      </c>
      <c r="F85" s="222">
        <v>1</v>
      </c>
      <c r="G85" s="223">
        <v>1</v>
      </c>
      <c r="H85" s="222">
        <v>10</v>
      </c>
      <c r="I85" s="223">
        <v>10</v>
      </c>
      <c r="J85" s="222">
        <v>5</v>
      </c>
      <c r="K85" s="223">
        <v>5</v>
      </c>
      <c r="L85" s="222"/>
      <c r="M85" s="223"/>
      <c r="N85" s="222"/>
      <c r="O85" s="140"/>
      <c r="P85" s="140"/>
      <c r="Q85" s="140"/>
      <c r="R85" s="140"/>
      <c r="S85" s="223"/>
      <c r="T85" s="136">
        <f t="shared" si="6"/>
        <v>15</v>
      </c>
      <c r="U85" s="223">
        <v>4</v>
      </c>
    </row>
    <row r="86" spans="1:21">
      <c r="A86" s="218" t="s">
        <v>27</v>
      </c>
      <c r="B86" s="227" t="s">
        <v>187</v>
      </c>
      <c r="C86" s="227" t="s">
        <v>29</v>
      </c>
      <c r="D86" s="250" t="s">
        <v>29</v>
      </c>
      <c r="E86" s="209">
        <v>7</v>
      </c>
      <c r="F86" s="222">
        <v>1</v>
      </c>
      <c r="G86" s="223">
        <v>1</v>
      </c>
      <c r="H86" s="222">
        <v>20</v>
      </c>
      <c r="I86" s="223">
        <v>20</v>
      </c>
      <c r="J86" s="222">
        <v>10</v>
      </c>
      <c r="K86" s="223">
        <v>10</v>
      </c>
      <c r="L86" s="222"/>
      <c r="M86" s="223"/>
      <c r="N86" s="222"/>
      <c r="O86" s="140"/>
      <c r="P86" s="140"/>
      <c r="Q86" s="140"/>
      <c r="R86" s="140"/>
      <c r="S86" s="223"/>
      <c r="T86" s="136">
        <f t="shared" si="6"/>
        <v>30</v>
      </c>
      <c r="U86" s="223">
        <v>8</v>
      </c>
    </row>
    <row r="87" spans="1:21">
      <c r="A87" s="218" t="s">
        <v>27</v>
      </c>
      <c r="B87" s="227" t="s">
        <v>187</v>
      </c>
      <c r="C87" s="227" t="s">
        <v>189</v>
      </c>
      <c r="D87" s="250" t="s">
        <v>29</v>
      </c>
      <c r="E87" s="209">
        <v>7</v>
      </c>
      <c r="F87" s="222">
        <v>1</v>
      </c>
      <c r="G87" s="223">
        <v>1</v>
      </c>
      <c r="H87" s="222">
        <v>20</v>
      </c>
      <c r="I87" s="223">
        <v>20</v>
      </c>
      <c r="J87" s="222">
        <v>10</v>
      </c>
      <c r="K87" s="223">
        <v>10</v>
      </c>
      <c r="L87" s="222"/>
      <c r="M87" s="223"/>
      <c r="N87" s="222"/>
      <c r="O87" s="140"/>
      <c r="P87" s="140"/>
      <c r="Q87" s="140"/>
      <c r="R87" s="140"/>
      <c r="S87" s="223"/>
      <c r="T87" s="136">
        <f t="shared" si="6"/>
        <v>30</v>
      </c>
      <c r="U87" s="223">
        <v>8</v>
      </c>
    </row>
    <row r="88" spans="1:21" ht="76.5">
      <c r="A88" s="218" t="s">
        <v>27</v>
      </c>
      <c r="B88" s="227" t="s">
        <v>187</v>
      </c>
      <c r="C88" s="139" t="s">
        <v>169</v>
      </c>
      <c r="D88" s="250" t="s">
        <v>29</v>
      </c>
      <c r="E88" s="209">
        <v>7</v>
      </c>
      <c r="F88" s="134">
        <v>1</v>
      </c>
      <c r="G88" s="135">
        <v>1</v>
      </c>
      <c r="H88" s="136">
        <v>10</v>
      </c>
      <c r="I88" s="144">
        <v>10</v>
      </c>
      <c r="J88" s="136">
        <v>5</v>
      </c>
      <c r="K88" s="144">
        <v>5</v>
      </c>
      <c r="L88" s="136"/>
      <c r="M88" s="144"/>
      <c r="N88" s="136"/>
      <c r="O88" s="142"/>
      <c r="P88" s="142"/>
      <c r="Q88" s="142"/>
      <c r="R88" s="142"/>
      <c r="S88" s="144"/>
      <c r="T88" s="136">
        <f t="shared" ref="T88:T96" si="7">(I88+K88+M88+N88+O88+P88+Q88+R88+S88)</f>
        <v>15</v>
      </c>
      <c r="U88" s="144">
        <v>4</v>
      </c>
    </row>
    <row r="89" spans="1:21">
      <c r="A89" s="218" t="s">
        <v>27</v>
      </c>
      <c r="B89" s="217" t="s">
        <v>190</v>
      </c>
      <c r="C89" s="217" t="s">
        <v>178</v>
      </c>
      <c r="D89" s="250" t="s">
        <v>29</v>
      </c>
      <c r="E89" s="209">
        <v>11</v>
      </c>
      <c r="F89" s="134">
        <v>1</v>
      </c>
      <c r="G89" s="135">
        <v>1</v>
      </c>
      <c r="H89" s="136">
        <v>20</v>
      </c>
      <c r="I89" s="144">
        <v>20</v>
      </c>
      <c r="J89" s="136">
        <v>10</v>
      </c>
      <c r="K89" s="144">
        <v>10</v>
      </c>
      <c r="L89" s="136"/>
      <c r="M89" s="144"/>
      <c r="N89" s="136"/>
      <c r="O89" s="142"/>
      <c r="P89" s="142"/>
      <c r="Q89" s="142"/>
      <c r="R89" s="142"/>
      <c r="S89" s="144"/>
      <c r="T89" s="136">
        <f t="shared" si="7"/>
        <v>30</v>
      </c>
      <c r="U89" s="144">
        <v>8</v>
      </c>
    </row>
    <row r="90" spans="1:21" ht="76.5">
      <c r="A90" s="218" t="s">
        <v>27</v>
      </c>
      <c r="B90" s="217" t="s">
        <v>190</v>
      </c>
      <c r="C90" s="217" t="s">
        <v>191</v>
      </c>
      <c r="D90" s="250" t="s">
        <v>29</v>
      </c>
      <c r="E90" s="209">
        <v>11</v>
      </c>
      <c r="F90" s="134">
        <v>1</v>
      </c>
      <c r="G90" s="135">
        <v>1</v>
      </c>
      <c r="H90" s="136">
        <v>10</v>
      </c>
      <c r="I90" s="144">
        <v>10</v>
      </c>
      <c r="J90" s="136">
        <v>10</v>
      </c>
      <c r="K90" s="144">
        <v>10</v>
      </c>
      <c r="L90" s="136"/>
      <c r="M90" s="144"/>
      <c r="N90" s="136"/>
      <c r="O90" s="142"/>
      <c r="P90" s="142"/>
      <c r="Q90" s="142"/>
      <c r="R90" s="142"/>
      <c r="S90" s="144"/>
      <c r="T90" s="136">
        <f t="shared" si="7"/>
        <v>20</v>
      </c>
      <c r="U90" s="144">
        <v>5</v>
      </c>
    </row>
    <row r="91" spans="1:21" ht="76.5">
      <c r="A91" s="218" t="s">
        <v>27</v>
      </c>
      <c r="B91" s="217" t="s">
        <v>190</v>
      </c>
      <c r="C91" s="210" t="s">
        <v>192</v>
      </c>
      <c r="D91" s="250" t="s">
        <v>29</v>
      </c>
      <c r="E91" s="209">
        <v>11</v>
      </c>
      <c r="F91" s="211">
        <v>1</v>
      </c>
      <c r="G91" s="63">
        <v>1</v>
      </c>
      <c r="H91" s="212">
        <v>10</v>
      </c>
      <c r="I91" s="213">
        <v>10</v>
      </c>
      <c r="J91" s="212">
        <v>10</v>
      </c>
      <c r="K91" s="213">
        <v>10</v>
      </c>
      <c r="L91" s="212"/>
      <c r="M91" s="213"/>
      <c r="N91" s="212"/>
      <c r="O91" s="214"/>
      <c r="P91" s="214"/>
      <c r="Q91" s="214"/>
      <c r="R91" s="214"/>
      <c r="S91" s="213"/>
      <c r="T91" s="212">
        <f t="shared" si="7"/>
        <v>20</v>
      </c>
      <c r="U91" s="213">
        <v>5</v>
      </c>
    </row>
    <row r="92" spans="1:21" ht="51">
      <c r="A92" s="218" t="s">
        <v>27</v>
      </c>
      <c r="B92" s="217" t="s">
        <v>193</v>
      </c>
      <c r="C92" s="217" t="s">
        <v>108</v>
      </c>
      <c r="D92" s="60" t="s">
        <v>194</v>
      </c>
      <c r="E92" s="209" t="s">
        <v>195</v>
      </c>
      <c r="F92" s="134">
        <v>1</v>
      </c>
      <c r="G92" s="135">
        <v>3</v>
      </c>
      <c r="H92" s="136">
        <v>30</v>
      </c>
      <c r="I92" s="144">
        <v>30</v>
      </c>
      <c r="J92" s="136">
        <v>30</v>
      </c>
      <c r="K92" s="144">
        <v>90</v>
      </c>
      <c r="L92" s="136"/>
      <c r="M92" s="144"/>
      <c r="N92" s="136"/>
      <c r="O92" s="142"/>
      <c r="P92" s="142"/>
      <c r="Q92" s="142"/>
      <c r="R92" s="142"/>
      <c r="S92" s="144"/>
      <c r="T92" s="136">
        <f t="shared" si="7"/>
        <v>120</v>
      </c>
      <c r="U92" s="144">
        <v>6</v>
      </c>
    </row>
    <row r="93" spans="1:21" ht="89.25">
      <c r="A93" s="218" t="s">
        <v>27</v>
      </c>
      <c r="B93" s="217" t="s">
        <v>61</v>
      </c>
      <c r="C93" s="217" t="s">
        <v>103</v>
      </c>
      <c r="D93" s="60" t="s">
        <v>196</v>
      </c>
      <c r="E93" s="209" t="s">
        <v>62</v>
      </c>
      <c r="F93" s="134">
        <v>1</v>
      </c>
      <c r="G93" s="135">
        <v>2</v>
      </c>
      <c r="H93" s="136">
        <v>5</v>
      </c>
      <c r="I93" s="144">
        <v>5</v>
      </c>
      <c r="J93" s="136">
        <v>5</v>
      </c>
      <c r="K93" s="144">
        <v>10</v>
      </c>
      <c r="L93" s="136"/>
      <c r="M93" s="144"/>
      <c r="N93" s="136"/>
      <c r="O93" s="142"/>
      <c r="P93" s="142"/>
      <c r="Q93" s="142"/>
      <c r="R93" s="142"/>
      <c r="S93" s="144"/>
      <c r="T93" s="136">
        <f t="shared" si="7"/>
        <v>15</v>
      </c>
      <c r="U93" s="144">
        <v>3</v>
      </c>
    </row>
    <row r="94" spans="1:21" ht="25.5">
      <c r="A94" s="218" t="s">
        <v>27</v>
      </c>
      <c r="B94" s="251" t="s">
        <v>197</v>
      </c>
      <c r="C94" s="217" t="s">
        <v>103</v>
      </c>
      <c r="D94" s="60" t="s">
        <v>198</v>
      </c>
      <c r="E94" s="209" t="s">
        <v>199</v>
      </c>
      <c r="F94" s="134">
        <v>1</v>
      </c>
      <c r="G94" s="135">
        <v>2</v>
      </c>
      <c r="H94" s="136">
        <v>15</v>
      </c>
      <c r="I94" s="144">
        <v>15</v>
      </c>
      <c r="J94" s="136">
        <v>15</v>
      </c>
      <c r="K94" s="144">
        <v>30</v>
      </c>
      <c r="L94" s="136"/>
      <c r="M94" s="144"/>
      <c r="N94" s="136"/>
      <c r="O94" s="142"/>
      <c r="P94" s="142"/>
      <c r="Q94" s="142"/>
      <c r="R94" s="142"/>
      <c r="S94" s="144"/>
      <c r="T94" s="136">
        <f t="shared" si="7"/>
        <v>45</v>
      </c>
      <c r="U94" s="144">
        <v>3</v>
      </c>
    </row>
    <row r="95" spans="1:21">
      <c r="A95" s="218" t="s">
        <v>27</v>
      </c>
      <c r="B95" s="221" t="s">
        <v>200</v>
      </c>
      <c r="C95" s="217" t="s">
        <v>138</v>
      </c>
      <c r="D95" s="60" t="s">
        <v>32</v>
      </c>
      <c r="E95" s="209">
        <v>17</v>
      </c>
      <c r="F95" s="134">
        <v>1</v>
      </c>
      <c r="G95" s="135">
        <v>1</v>
      </c>
      <c r="H95" s="136">
        <v>30</v>
      </c>
      <c r="I95" s="144">
        <v>30</v>
      </c>
      <c r="J95" s="136">
        <v>30</v>
      </c>
      <c r="K95" s="144">
        <v>30</v>
      </c>
      <c r="L95" s="136"/>
      <c r="M95" s="144"/>
      <c r="N95" s="136"/>
      <c r="O95" s="142"/>
      <c r="P95" s="142"/>
      <c r="Q95" s="142"/>
      <c r="R95" s="142"/>
      <c r="S95" s="144"/>
      <c r="T95" s="136">
        <f t="shared" si="7"/>
        <v>60</v>
      </c>
      <c r="U95" s="144">
        <v>5</v>
      </c>
    </row>
    <row r="96" spans="1:21" ht="25.5">
      <c r="A96" s="218" t="s">
        <v>27</v>
      </c>
      <c r="B96" s="217" t="s">
        <v>201</v>
      </c>
      <c r="C96" s="247" t="s">
        <v>138</v>
      </c>
      <c r="D96" s="60" t="s">
        <v>32</v>
      </c>
      <c r="E96" s="209">
        <v>16</v>
      </c>
      <c r="F96" s="134">
        <v>1</v>
      </c>
      <c r="G96" s="135">
        <v>1</v>
      </c>
      <c r="H96" s="136">
        <v>30</v>
      </c>
      <c r="I96" s="144">
        <v>30</v>
      </c>
      <c r="J96" s="136">
        <v>30</v>
      </c>
      <c r="K96" s="144">
        <v>30</v>
      </c>
      <c r="L96" s="136"/>
      <c r="M96" s="144"/>
      <c r="N96" s="136"/>
      <c r="O96" s="142"/>
      <c r="P96" s="142"/>
      <c r="Q96" s="142"/>
      <c r="R96" s="142"/>
      <c r="S96" s="144"/>
      <c r="T96" s="136">
        <f t="shared" si="7"/>
        <v>60</v>
      </c>
      <c r="U96" s="144">
        <v>5</v>
      </c>
    </row>
    <row r="97" spans="1:21" ht="51">
      <c r="A97" s="218" t="s">
        <v>27</v>
      </c>
      <c r="B97" s="217" t="s">
        <v>202</v>
      </c>
      <c r="C97" s="217" t="s">
        <v>203</v>
      </c>
      <c r="D97" s="60" t="s">
        <v>204</v>
      </c>
      <c r="E97" s="209" t="s">
        <v>205</v>
      </c>
      <c r="F97" s="134">
        <v>1</v>
      </c>
      <c r="G97" s="135">
        <v>2</v>
      </c>
      <c r="H97" s="136">
        <v>15</v>
      </c>
      <c r="I97" s="144">
        <v>15</v>
      </c>
      <c r="J97" s="136">
        <v>15</v>
      </c>
      <c r="K97" s="144">
        <v>30</v>
      </c>
      <c r="L97" s="136"/>
      <c r="M97" s="144"/>
      <c r="N97" s="136"/>
      <c r="O97" s="142"/>
      <c r="P97" s="142"/>
      <c r="Q97" s="142"/>
      <c r="R97" s="142"/>
      <c r="S97" s="144"/>
      <c r="T97" s="136">
        <f t="shared" ref="T97:T100" si="8">(I97+K97+M97+N97+O97+P97+Q97+R97+S97)</f>
        <v>45</v>
      </c>
      <c r="U97" s="144">
        <v>3</v>
      </c>
    </row>
    <row r="98" spans="1:21" ht="38.25">
      <c r="A98" s="218" t="s">
        <v>27</v>
      </c>
      <c r="B98" s="217" t="s">
        <v>206</v>
      </c>
      <c r="C98" s="217" t="s">
        <v>203</v>
      </c>
      <c r="D98" s="60" t="s">
        <v>207</v>
      </c>
      <c r="E98" s="209" t="s">
        <v>208</v>
      </c>
      <c r="F98" s="134">
        <v>1</v>
      </c>
      <c r="G98" s="135">
        <v>2</v>
      </c>
      <c r="H98" s="136">
        <v>15</v>
      </c>
      <c r="I98" s="144">
        <v>15</v>
      </c>
      <c r="J98" s="136">
        <v>15</v>
      </c>
      <c r="K98" s="144">
        <v>30</v>
      </c>
      <c r="L98" s="136"/>
      <c r="M98" s="144"/>
      <c r="N98" s="136"/>
      <c r="O98" s="142"/>
      <c r="P98" s="142"/>
      <c r="Q98" s="142"/>
      <c r="R98" s="142"/>
      <c r="S98" s="144"/>
      <c r="T98" s="136">
        <f t="shared" si="8"/>
        <v>45</v>
      </c>
      <c r="U98" s="144">
        <v>3</v>
      </c>
    </row>
    <row r="99" spans="1:21" ht="25.5">
      <c r="A99" s="218" t="s">
        <v>27</v>
      </c>
      <c r="B99" s="217" t="s">
        <v>209</v>
      </c>
      <c r="C99" s="217" t="s">
        <v>203</v>
      </c>
      <c r="D99" s="60" t="s">
        <v>85</v>
      </c>
      <c r="E99" s="209" t="s">
        <v>210</v>
      </c>
      <c r="F99" s="134">
        <v>1</v>
      </c>
      <c r="G99" s="135">
        <v>2</v>
      </c>
      <c r="H99" s="136">
        <v>15</v>
      </c>
      <c r="I99" s="144">
        <v>15</v>
      </c>
      <c r="J99" s="136">
        <v>15</v>
      </c>
      <c r="K99" s="144">
        <v>30</v>
      </c>
      <c r="L99" s="136"/>
      <c r="M99" s="144"/>
      <c r="N99" s="136"/>
      <c r="O99" s="142"/>
      <c r="P99" s="142"/>
      <c r="Q99" s="142"/>
      <c r="R99" s="142"/>
      <c r="S99" s="144"/>
      <c r="T99" s="136">
        <f t="shared" si="8"/>
        <v>45</v>
      </c>
      <c r="U99" s="144">
        <v>3</v>
      </c>
    </row>
    <row r="100" spans="1:21" ht="63.75">
      <c r="A100" s="218" t="s">
        <v>27</v>
      </c>
      <c r="B100" s="217" t="s">
        <v>211</v>
      </c>
      <c r="C100" s="217" t="s">
        <v>203</v>
      </c>
      <c r="D100" s="60" t="s">
        <v>212</v>
      </c>
      <c r="E100" s="209" t="s">
        <v>213</v>
      </c>
      <c r="F100" s="134">
        <v>1</v>
      </c>
      <c r="G100" s="135">
        <v>3</v>
      </c>
      <c r="H100" s="136">
        <v>15</v>
      </c>
      <c r="I100" s="144">
        <v>15</v>
      </c>
      <c r="J100" s="136">
        <v>15</v>
      </c>
      <c r="K100" s="144">
        <v>45</v>
      </c>
      <c r="L100" s="136"/>
      <c r="M100" s="144"/>
      <c r="N100" s="136"/>
      <c r="O100" s="142"/>
      <c r="P100" s="142"/>
      <c r="Q100" s="142"/>
      <c r="R100" s="142"/>
      <c r="S100" s="144"/>
      <c r="T100" s="136">
        <f t="shared" si="8"/>
        <v>60</v>
      </c>
      <c r="U100" s="144">
        <v>3</v>
      </c>
    </row>
    <row r="101" spans="1:21">
      <c r="A101" s="218" t="s">
        <v>27</v>
      </c>
      <c r="B101" s="217" t="s">
        <v>214</v>
      </c>
      <c r="C101" s="217" t="s">
        <v>215</v>
      </c>
      <c r="D101" s="60" t="s">
        <v>216</v>
      </c>
      <c r="E101" s="209">
        <v>13</v>
      </c>
      <c r="F101" s="134">
        <v>1</v>
      </c>
      <c r="G101" s="135">
        <v>1</v>
      </c>
      <c r="H101" s="136">
        <v>30</v>
      </c>
      <c r="I101" s="144">
        <v>30</v>
      </c>
      <c r="J101" s="136">
        <v>15</v>
      </c>
      <c r="K101" s="144">
        <v>15</v>
      </c>
      <c r="L101" s="136"/>
      <c r="M101" s="144"/>
      <c r="N101" s="136"/>
      <c r="O101" s="142"/>
      <c r="P101" s="142"/>
      <c r="Q101" s="142"/>
      <c r="R101" s="142"/>
      <c r="S101" s="144"/>
      <c r="T101" s="136">
        <f t="shared" ref="T101:T116" si="9">(I101+K101+M101+N101+O101+P101+Q101+R101+S101)</f>
        <v>45</v>
      </c>
      <c r="U101" s="144">
        <v>4</v>
      </c>
    </row>
    <row r="102" spans="1:21" ht="25.5">
      <c r="A102" s="218" t="s">
        <v>27</v>
      </c>
      <c r="B102" s="217" t="s">
        <v>800</v>
      </c>
      <c r="C102" s="217" t="s">
        <v>217</v>
      </c>
      <c r="D102" s="60" t="s">
        <v>218</v>
      </c>
      <c r="E102" s="209">
        <v>2</v>
      </c>
      <c r="F102" s="134">
        <v>1</v>
      </c>
      <c r="G102" s="135">
        <v>1</v>
      </c>
      <c r="H102" s="136">
        <v>30</v>
      </c>
      <c r="I102" s="136">
        <v>30</v>
      </c>
      <c r="J102" s="136">
        <v>15</v>
      </c>
      <c r="K102" s="136">
        <v>15</v>
      </c>
      <c r="L102" s="136"/>
      <c r="M102" s="144"/>
      <c r="N102" s="136"/>
      <c r="O102" s="142"/>
      <c r="P102" s="142"/>
      <c r="Q102" s="142"/>
      <c r="R102" s="142"/>
      <c r="S102" s="144"/>
      <c r="T102" s="136">
        <f t="shared" si="9"/>
        <v>45</v>
      </c>
      <c r="U102" s="144">
        <v>6</v>
      </c>
    </row>
    <row r="103" spans="1:21" ht="38.25">
      <c r="A103" s="218" t="s">
        <v>27</v>
      </c>
      <c r="B103" s="217" t="s">
        <v>800</v>
      </c>
      <c r="C103" s="217" t="s">
        <v>219</v>
      </c>
      <c r="D103" s="60" t="s">
        <v>218</v>
      </c>
      <c r="E103" s="209">
        <v>2</v>
      </c>
      <c r="F103" s="134">
        <v>1</v>
      </c>
      <c r="G103" s="135">
        <v>1</v>
      </c>
      <c r="H103" s="136">
        <v>30</v>
      </c>
      <c r="I103" s="136">
        <v>30</v>
      </c>
      <c r="J103" s="136">
        <v>15</v>
      </c>
      <c r="K103" s="136">
        <v>15</v>
      </c>
      <c r="L103" s="136"/>
      <c r="M103" s="144"/>
      <c r="N103" s="136"/>
      <c r="O103" s="142"/>
      <c r="P103" s="142"/>
      <c r="Q103" s="142"/>
      <c r="R103" s="142"/>
      <c r="S103" s="144"/>
      <c r="T103" s="136">
        <f t="shared" si="9"/>
        <v>45</v>
      </c>
      <c r="U103" s="144">
        <v>6</v>
      </c>
    </row>
    <row r="104" spans="1:21" ht="63.75">
      <c r="A104" s="218" t="s">
        <v>27</v>
      </c>
      <c r="B104" s="217" t="s">
        <v>800</v>
      </c>
      <c r="C104" s="217" t="s">
        <v>220</v>
      </c>
      <c r="D104" s="60" t="s">
        <v>218</v>
      </c>
      <c r="E104" s="209">
        <v>2</v>
      </c>
      <c r="F104" s="134">
        <v>1</v>
      </c>
      <c r="G104" s="135">
        <v>1</v>
      </c>
      <c r="H104" s="136">
        <v>30</v>
      </c>
      <c r="I104" s="136">
        <v>30</v>
      </c>
      <c r="J104" s="136">
        <v>15</v>
      </c>
      <c r="K104" s="136">
        <v>15</v>
      </c>
      <c r="L104" s="136"/>
      <c r="M104" s="144"/>
      <c r="N104" s="136"/>
      <c r="O104" s="142"/>
      <c r="P104" s="142"/>
      <c r="Q104" s="142"/>
      <c r="R104" s="142"/>
      <c r="S104" s="144"/>
      <c r="T104" s="136">
        <f t="shared" si="9"/>
        <v>45</v>
      </c>
      <c r="U104" s="144">
        <v>6</v>
      </c>
    </row>
    <row r="105" spans="1:21" ht="63.75">
      <c r="A105" s="72" t="s">
        <v>27</v>
      </c>
      <c r="B105" s="217" t="s">
        <v>800</v>
      </c>
      <c r="C105" s="71" t="s">
        <v>221</v>
      </c>
      <c r="D105" s="71" t="s">
        <v>218</v>
      </c>
      <c r="E105" s="72">
        <v>2</v>
      </c>
      <c r="F105" s="72">
        <v>1</v>
      </c>
      <c r="G105" s="72">
        <v>1</v>
      </c>
      <c r="H105" s="140">
        <v>30</v>
      </c>
      <c r="I105" s="140">
        <v>30</v>
      </c>
      <c r="J105" s="140">
        <v>15</v>
      </c>
      <c r="K105" s="140">
        <v>15</v>
      </c>
      <c r="L105" s="140"/>
      <c r="M105" s="140"/>
      <c r="N105" s="140"/>
      <c r="O105" s="140"/>
      <c r="P105" s="140"/>
      <c r="Q105" s="140"/>
      <c r="R105" s="140"/>
      <c r="S105" s="140"/>
      <c r="T105" s="140">
        <f t="shared" si="9"/>
        <v>45</v>
      </c>
      <c r="U105" s="140">
        <v>6</v>
      </c>
    </row>
    <row r="106" spans="1:21" ht="51">
      <c r="A106" s="50" t="s">
        <v>27</v>
      </c>
      <c r="B106" s="51" t="s">
        <v>222</v>
      </c>
      <c r="C106" s="51" t="s">
        <v>34</v>
      </c>
      <c r="D106" s="51" t="s">
        <v>223</v>
      </c>
      <c r="E106" s="50" t="s">
        <v>224</v>
      </c>
      <c r="F106" s="50">
        <v>1</v>
      </c>
      <c r="G106" s="50">
        <v>1</v>
      </c>
      <c r="H106" s="53">
        <v>30</v>
      </c>
      <c r="I106" s="53">
        <v>30</v>
      </c>
      <c r="J106" s="53">
        <v>15</v>
      </c>
      <c r="K106" s="53">
        <v>15</v>
      </c>
      <c r="L106" s="53"/>
      <c r="M106" s="53"/>
      <c r="N106" s="53"/>
      <c r="O106" s="53"/>
      <c r="P106" s="53"/>
      <c r="Q106" s="53"/>
      <c r="R106" s="53"/>
      <c r="S106" s="53"/>
      <c r="T106" s="53">
        <f t="shared" si="9"/>
        <v>45</v>
      </c>
      <c r="U106" s="53">
        <v>6</v>
      </c>
    </row>
    <row r="107" spans="1:21" ht="38.25">
      <c r="A107" s="50" t="s">
        <v>27</v>
      </c>
      <c r="B107" s="51" t="s">
        <v>225</v>
      </c>
      <c r="C107" s="51" t="s">
        <v>226</v>
      </c>
      <c r="D107" s="51" t="s">
        <v>227</v>
      </c>
      <c r="E107" s="50">
        <v>10</v>
      </c>
      <c r="F107" s="50">
        <v>1</v>
      </c>
      <c r="G107" s="50">
        <v>1</v>
      </c>
      <c r="H107" s="53">
        <v>30</v>
      </c>
      <c r="I107" s="53">
        <v>30</v>
      </c>
      <c r="J107" s="53">
        <v>15</v>
      </c>
      <c r="K107" s="53">
        <v>15</v>
      </c>
      <c r="L107" s="53"/>
      <c r="M107" s="53"/>
      <c r="N107" s="53"/>
      <c r="O107" s="53"/>
      <c r="P107" s="53"/>
      <c r="Q107" s="53"/>
      <c r="R107" s="53"/>
      <c r="S107" s="53"/>
      <c r="T107" s="53">
        <f t="shared" si="9"/>
        <v>45</v>
      </c>
      <c r="U107" s="53">
        <v>6</v>
      </c>
    </row>
    <row r="108" spans="1:21" ht="38.25">
      <c r="A108" s="50" t="s">
        <v>27</v>
      </c>
      <c r="B108" s="51" t="s">
        <v>225</v>
      </c>
      <c r="C108" s="51" t="s">
        <v>228</v>
      </c>
      <c r="D108" s="51" t="s">
        <v>227</v>
      </c>
      <c r="E108" s="50">
        <v>10</v>
      </c>
      <c r="F108" s="50">
        <v>1</v>
      </c>
      <c r="G108" s="50">
        <v>1</v>
      </c>
      <c r="H108" s="53">
        <v>30</v>
      </c>
      <c r="I108" s="53">
        <v>30</v>
      </c>
      <c r="J108" s="53">
        <v>15</v>
      </c>
      <c r="K108" s="53">
        <v>15</v>
      </c>
      <c r="L108" s="53"/>
      <c r="M108" s="53"/>
      <c r="N108" s="53"/>
      <c r="O108" s="53"/>
      <c r="P108" s="53"/>
      <c r="Q108" s="53"/>
      <c r="R108" s="53"/>
      <c r="S108" s="53"/>
      <c r="T108" s="53">
        <f t="shared" si="9"/>
        <v>45</v>
      </c>
      <c r="U108" s="53">
        <v>6</v>
      </c>
    </row>
    <row r="109" spans="1:21" ht="38.25">
      <c r="A109" s="50" t="s">
        <v>27</v>
      </c>
      <c r="B109" s="51" t="s">
        <v>225</v>
      </c>
      <c r="C109" s="51" t="s">
        <v>229</v>
      </c>
      <c r="D109" s="51" t="s">
        <v>227</v>
      </c>
      <c r="E109" s="50">
        <v>10</v>
      </c>
      <c r="F109" s="50">
        <v>1</v>
      </c>
      <c r="G109" s="50">
        <v>1</v>
      </c>
      <c r="H109" s="53">
        <v>30</v>
      </c>
      <c r="I109" s="53">
        <v>30</v>
      </c>
      <c r="J109" s="53">
        <v>15</v>
      </c>
      <c r="K109" s="53">
        <v>15</v>
      </c>
      <c r="L109" s="53"/>
      <c r="M109" s="53"/>
      <c r="N109" s="53"/>
      <c r="O109" s="53"/>
      <c r="P109" s="53"/>
      <c r="Q109" s="53"/>
      <c r="R109" s="53"/>
      <c r="S109" s="53"/>
      <c r="T109" s="53">
        <f t="shared" si="9"/>
        <v>45</v>
      </c>
      <c r="U109" s="53">
        <v>6</v>
      </c>
    </row>
    <row r="110" spans="1:21" ht="38.25">
      <c r="A110" s="50" t="s">
        <v>27</v>
      </c>
      <c r="B110" s="51" t="s">
        <v>225</v>
      </c>
      <c r="C110" s="51" t="s">
        <v>230</v>
      </c>
      <c r="D110" s="51" t="s">
        <v>227</v>
      </c>
      <c r="E110" s="50">
        <v>10</v>
      </c>
      <c r="F110" s="50">
        <v>1</v>
      </c>
      <c r="G110" s="50">
        <v>1</v>
      </c>
      <c r="H110" s="53">
        <v>30</v>
      </c>
      <c r="I110" s="53">
        <v>30</v>
      </c>
      <c r="J110" s="53">
        <v>15</v>
      </c>
      <c r="K110" s="53">
        <v>15</v>
      </c>
      <c r="L110" s="53"/>
      <c r="M110" s="53"/>
      <c r="N110" s="53"/>
      <c r="O110" s="53"/>
      <c r="P110" s="53"/>
      <c r="Q110" s="53"/>
      <c r="R110" s="53"/>
      <c r="S110" s="53"/>
      <c r="T110" s="53">
        <f t="shared" si="9"/>
        <v>45</v>
      </c>
      <c r="U110" s="53">
        <v>6</v>
      </c>
    </row>
    <row r="111" spans="1:21" ht="25.5">
      <c r="A111" s="50" t="s">
        <v>27</v>
      </c>
      <c r="B111" s="51" t="s">
        <v>231</v>
      </c>
      <c r="C111" s="51" t="s">
        <v>232</v>
      </c>
      <c r="D111" s="51" t="s">
        <v>218</v>
      </c>
      <c r="E111" s="50">
        <v>8</v>
      </c>
      <c r="F111" s="50">
        <v>1</v>
      </c>
      <c r="G111" s="50">
        <v>1</v>
      </c>
      <c r="H111" s="53"/>
      <c r="I111" s="53"/>
      <c r="J111" s="53">
        <v>45</v>
      </c>
      <c r="K111" s="53">
        <v>45</v>
      </c>
      <c r="L111" s="53"/>
      <c r="M111" s="53"/>
      <c r="N111" s="53"/>
      <c r="O111" s="53"/>
      <c r="P111" s="53"/>
      <c r="Q111" s="53"/>
      <c r="R111" s="53"/>
      <c r="S111" s="53"/>
      <c r="T111" s="53">
        <f t="shared" si="9"/>
        <v>45</v>
      </c>
      <c r="U111" s="53">
        <v>6</v>
      </c>
    </row>
    <row r="112" spans="1:21" ht="25.5">
      <c r="A112" s="50" t="s">
        <v>27</v>
      </c>
      <c r="B112" s="51" t="s">
        <v>231</v>
      </c>
      <c r="C112" s="51" t="s">
        <v>233</v>
      </c>
      <c r="D112" s="51" t="s">
        <v>218</v>
      </c>
      <c r="E112" s="50">
        <v>8</v>
      </c>
      <c r="F112" s="50">
        <v>1</v>
      </c>
      <c r="G112" s="50">
        <v>1</v>
      </c>
      <c r="H112" s="53">
        <v>30</v>
      </c>
      <c r="I112" s="53">
        <v>30</v>
      </c>
      <c r="J112" s="53">
        <v>15</v>
      </c>
      <c r="K112" s="53">
        <v>15</v>
      </c>
      <c r="L112" s="53"/>
      <c r="M112" s="53"/>
      <c r="N112" s="53"/>
      <c r="O112" s="53"/>
      <c r="P112" s="53"/>
      <c r="Q112" s="53"/>
      <c r="R112" s="53"/>
      <c r="S112" s="53"/>
      <c r="T112" s="53">
        <f t="shared" si="9"/>
        <v>45</v>
      </c>
      <c r="U112" s="53">
        <v>6</v>
      </c>
    </row>
    <row r="113" spans="1:21" ht="25.5">
      <c r="A113" s="50" t="s">
        <v>27</v>
      </c>
      <c r="B113" s="51" t="s">
        <v>231</v>
      </c>
      <c r="C113" s="51" t="s">
        <v>234</v>
      </c>
      <c r="D113" s="51" t="s">
        <v>218</v>
      </c>
      <c r="E113" s="50">
        <v>8</v>
      </c>
      <c r="F113" s="50">
        <v>1</v>
      </c>
      <c r="G113" s="50">
        <v>1</v>
      </c>
      <c r="H113" s="53">
        <v>30</v>
      </c>
      <c r="I113" s="53">
        <v>30</v>
      </c>
      <c r="J113" s="53">
        <v>15</v>
      </c>
      <c r="K113" s="53">
        <v>15</v>
      </c>
      <c r="L113" s="53"/>
      <c r="M113" s="53"/>
      <c r="N113" s="53"/>
      <c r="O113" s="53"/>
      <c r="P113" s="53"/>
      <c r="Q113" s="53"/>
      <c r="R113" s="53"/>
      <c r="S113" s="53"/>
      <c r="T113" s="53">
        <f t="shared" si="9"/>
        <v>45</v>
      </c>
      <c r="U113" s="53">
        <v>6</v>
      </c>
    </row>
    <row r="114" spans="1:21" ht="25.5">
      <c r="A114" s="50" t="s">
        <v>27</v>
      </c>
      <c r="B114" s="51" t="s">
        <v>231</v>
      </c>
      <c r="C114" s="51" t="s">
        <v>235</v>
      </c>
      <c r="D114" s="51" t="s">
        <v>218</v>
      </c>
      <c r="E114" s="50">
        <v>8</v>
      </c>
      <c r="F114" s="50">
        <v>1</v>
      </c>
      <c r="G114" s="50">
        <v>1</v>
      </c>
      <c r="H114" s="53">
        <v>30</v>
      </c>
      <c r="I114" s="53">
        <v>30</v>
      </c>
      <c r="J114" s="53">
        <v>15</v>
      </c>
      <c r="K114" s="53">
        <v>15</v>
      </c>
      <c r="L114" s="53"/>
      <c r="M114" s="53"/>
      <c r="N114" s="53"/>
      <c r="O114" s="53"/>
      <c r="P114" s="53"/>
      <c r="Q114" s="53"/>
      <c r="R114" s="53"/>
      <c r="S114" s="53"/>
      <c r="T114" s="53">
        <f t="shared" si="9"/>
        <v>45</v>
      </c>
      <c r="U114" s="53">
        <v>6</v>
      </c>
    </row>
    <row r="115" spans="1:21" ht="89.25">
      <c r="A115" s="50" t="s">
        <v>27</v>
      </c>
      <c r="B115" s="51" t="s">
        <v>31</v>
      </c>
      <c r="C115" s="51" t="s">
        <v>236</v>
      </c>
      <c r="D115" s="51" t="s">
        <v>32</v>
      </c>
      <c r="E115" s="50">
        <v>15</v>
      </c>
      <c r="F115" s="50">
        <v>1</v>
      </c>
      <c r="G115" s="50">
        <v>1</v>
      </c>
      <c r="H115" s="53">
        <v>30</v>
      </c>
      <c r="I115" s="53">
        <v>30</v>
      </c>
      <c r="J115" s="53">
        <v>30</v>
      </c>
      <c r="K115" s="53">
        <v>30</v>
      </c>
      <c r="L115" s="53"/>
      <c r="M115" s="53"/>
      <c r="N115" s="53"/>
      <c r="O115" s="53"/>
      <c r="P115" s="53"/>
      <c r="Q115" s="53"/>
      <c r="R115" s="53"/>
      <c r="S115" s="53"/>
      <c r="T115" s="53">
        <f t="shared" si="9"/>
        <v>60</v>
      </c>
      <c r="U115" s="53">
        <v>5</v>
      </c>
    </row>
    <row r="116" spans="1:21">
      <c r="A116" s="22" t="s">
        <v>27</v>
      </c>
      <c r="B116" s="19" t="s">
        <v>88</v>
      </c>
      <c r="C116" s="118" t="s">
        <v>81</v>
      </c>
      <c r="D116" s="21" t="s">
        <v>32</v>
      </c>
      <c r="E116" s="119">
        <v>46</v>
      </c>
      <c r="F116" s="120">
        <v>1</v>
      </c>
      <c r="G116" s="121">
        <v>2</v>
      </c>
      <c r="H116" s="25">
        <v>30</v>
      </c>
      <c r="I116" s="25">
        <v>30</v>
      </c>
      <c r="J116" s="25">
        <v>15</v>
      </c>
      <c r="K116" s="25">
        <v>15</v>
      </c>
      <c r="L116" s="123"/>
      <c r="M116" s="122"/>
      <c r="N116" s="123"/>
      <c r="O116" s="124"/>
      <c r="P116" s="124"/>
      <c r="Q116" s="124"/>
      <c r="R116" s="124"/>
      <c r="S116" s="122"/>
      <c r="T116" s="25">
        <f t="shared" si="9"/>
        <v>45</v>
      </c>
      <c r="U116" s="122">
        <v>4</v>
      </c>
    </row>
    <row r="117" spans="1:21" ht="38.25">
      <c r="A117" s="218" t="s">
        <v>36</v>
      </c>
      <c r="B117" s="215" t="s">
        <v>68</v>
      </c>
      <c r="C117" s="71" t="s">
        <v>103</v>
      </c>
      <c r="D117" s="216" t="s">
        <v>37</v>
      </c>
      <c r="E117" s="209" t="s">
        <v>53</v>
      </c>
      <c r="F117" s="134">
        <v>1</v>
      </c>
      <c r="G117" s="135">
        <v>2</v>
      </c>
      <c r="H117" s="136">
        <v>15</v>
      </c>
      <c r="I117" s="144">
        <v>15</v>
      </c>
      <c r="J117" s="136">
        <v>15</v>
      </c>
      <c r="K117" s="144">
        <v>30</v>
      </c>
      <c r="L117" s="252"/>
      <c r="M117" s="253"/>
      <c r="N117" s="252"/>
      <c r="O117" s="254"/>
      <c r="P117" s="254"/>
      <c r="Q117" s="254"/>
      <c r="R117" s="254"/>
      <c r="S117" s="253"/>
      <c r="T117" s="136">
        <f t="shared" ref="T117:T128" si="10">(I117+K117+M117+N117+O117+P117+Q117+R117+S117)</f>
        <v>45</v>
      </c>
      <c r="U117" s="253">
        <v>3</v>
      </c>
    </row>
    <row r="118" spans="1:21">
      <c r="A118" s="218" t="s">
        <v>36</v>
      </c>
      <c r="B118" s="217" t="s">
        <v>127</v>
      </c>
      <c r="C118" s="247" t="s">
        <v>237</v>
      </c>
      <c r="D118" s="60" t="s">
        <v>81</v>
      </c>
      <c r="E118" s="209">
        <v>30</v>
      </c>
      <c r="F118" s="134">
        <v>1</v>
      </c>
      <c r="G118" s="135">
        <v>1</v>
      </c>
      <c r="H118" s="136">
        <v>30</v>
      </c>
      <c r="I118" s="144">
        <v>30</v>
      </c>
      <c r="J118" s="136">
        <v>30</v>
      </c>
      <c r="K118" s="144">
        <v>30</v>
      </c>
      <c r="L118" s="252"/>
      <c r="M118" s="253"/>
      <c r="N118" s="252"/>
      <c r="O118" s="254"/>
      <c r="P118" s="254"/>
      <c r="Q118" s="254"/>
      <c r="R118" s="254"/>
      <c r="S118" s="253"/>
      <c r="T118" s="252">
        <f t="shared" si="10"/>
        <v>60</v>
      </c>
      <c r="U118" s="253">
        <v>6</v>
      </c>
    </row>
    <row r="119" spans="1:21" ht="51">
      <c r="A119" s="218" t="s">
        <v>36</v>
      </c>
      <c r="B119" s="217" t="s">
        <v>135</v>
      </c>
      <c r="C119" s="217" t="s">
        <v>238</v>
      </c>
      <c r="D119" s="60" t="s">
        <v>136</v>
      </c>
      <c r="E119" s="209">
        <v>50</v>
      </c>
      <c r="F119" s="237">
        <v>1</v>
      </c>
      <c r="G119" s="238">
        <v>2</v>
      </c>
      <c r="H119" s="222">
        <v>15</v>
      </c>
      <c r="I119" s="223">
        <v>15</v>
      </c>
      <c r="J119" s="222">
        <v>15</v>
      </c>
      <c r="K119" s="223">
        <v>30</v>
      </c>
      <c r="L119" s="222"/>
      <c r="M119" s="223"/>
      <c r="N119" s="222"/>
      <c r="O119" s="140"/>
      <c r="P119" s="140"/>
      <c r="Q119" s="140"/>
      <c r="R119" s="140"/>
      <c r="S119" s="223"/>
      <c r="T119" s="222">
        <f t="shared" si="10"/>
        <v>45</v>
      </c>
      <c r="U119" s="223">
        <v>4</v>
      </c>
    </row>
    <row r="120" spans="1:21">
      <c r="A120" s="218" t="s">
        <v>36</v>
      </c>
      <c r="B120" s="240" t="s">
        <v>239</v>
      </c>
      <c r="C120" s="71" t="s">
        <v>103</v>
      </c>
      <c r="D120" s="60" t="s">
        <v>216</v>
      </c>
      <c r="E120" s="209">
        <v>20</v>
      </c>
      <c r="F120" s="134">
        <v>1</v>
      </c>
      <c r="G120" s="135">
        <v>1</v>
      </c>
      <c r="H120" s="136">
        <v>15</v>
      </c>
      <c r="I120" s="144">
        <v>15</v>
      </c>
      <c r="J120" s="136">
        <v>15</v>
      </c>
      <c r="K120" s="144">
        <v>15</v>
      </c>
      <c r="L120" s="136"/>
      <c r="M120" s="144"/>
      <c r="N120" s="136"/>
      <c r="O120" s="142"/>
      <c r="P120" s="142"/>
      <c r="Q120" s="142"/>
      <c r="R120" s="142"/>
      <c r="S120" s="144"/>
      <c r="T120" s="136">
        <f t="shared" si="10"/>
        <v>30</v>
      </c>
      <c r="U120" s="144">
        <v>3</v>
      </c>
    </row>
    <row r="121" spans="1:21">
      <c r="A121" s="218" t="s">
        <v>36</v>
      </c>
      <c r="B121" s="217" t="s">
        <v>140</v>
      </c>
      <c r="C121" s="139" t="s">
        <v>240</v>
      </c>
      <c r="D121" s="60" t="s">
        <v>81</v>
      </c>
      <c r="E121" s="209">
        <v>23</v>
      </c>
      <c r="F121" s="222">
        <v>1</v>
      </c>
      <c r="G121" s="223">
        <v>1</v>
      </c>
      <c r="H121" s="222">
        <v>30</v>
      </c>
      <c r="I121" s="223">
        <v>30</v>
      </c>
      <c r="J121" s="222">
        <v>30</v>
      </c>
      <c r="K121" s="223">
        <v>30</v>
      </c>
      <c r="L121" s="222"/>
      <c r="M121" s="223"/>
      <c r="N121" s="222"/>
      <c r="O121" s="140"/>
      <c r="P121" s="140"/>
      <c r="Q121" s="140"/>
      <c r="R121" s="140"/>
      <c r="S121" s="223"/>
      <c r="T121" s="136">
        <f t="shared" si="10"/>
        <v>60</v>
      </c>
      <c r="U121" s="223">
        <v>5</v>
      </c>
    </row>
    <row r="122" spans="1:21" ht="25.5">
      <c r="A122" s="218" t="s">
        <v>36</v>
      </c>
      <c r="B122" s="217" t="s">
        <v>140</v>
      </c>
      <c r="C122" s="139" t="s">
        <v>241</v>
      </c>
      <c r="D122" s="60" t="s">
        <v>81</v>
      </c>
      <c r="E122" s="229">
        <v>23</v>
      </c>
      <c r="F122" s="222">
        <v>1</v>
      </c>
      <c r="G122" s="223">
        <v>1</v>
      </c>
      <c r="H122" s="222">
        <v>45</v>
      </c>
      <c r="I122" s="223">
        <v>45</v>
      </c>
      <c r="J122" s="222">
        <v>30</v>
      </c>
      <c r="K122" s="223">
        <v>30</v>
      </c>
      <c r="L122" s="222"/>
      <c r="M122" s="223"/>
      <c r="N122" s="222"/>
      <c r="O122" s="140"/>
      <c r="P122" s="140"/>
      <c r="Q122" s="140"/>
      <c r="R122" s="140"/>
      <c r="S122" s="223"/>
      <c r="T122" s="136">
        <f t="shared" si="10"/>
        <v>75</v>
      </c>
      <c r="U122" s="223">
        <v>6</v>
      </c>
    </row>
    <row r="123" spans="1:21" ht="76.5">
      <c r="A123" s="218" t="s">
        <v>36</v>
      </c>
      <c r="B123" s="217" t="s">
        <v>140</v>
      </c>
      <c r="C123" s="71" t="s">
        <v>242</v>
      </c>
      <c r="D123" s="60" t="s">
        <v>81</v>
      </c>
      <c r="E123" s="229">
        <v>23</v>
      </c>
      <c r="F123" s="222">
        <v>1</v>
      </c>
      <c r="G123" s="223">
        <v>1</v>
      </c>
      <c r="H123" s="222">
        <v>30</v>
      </c>
      <c r="I123" s="223">
        <v>30</v>
      </c>
      <c r="J123" s="222">
        <v>30</v>
      </c>
      <c r="K123" s="223">
        <v>30</v>
      </c>
      <c r="L123" s="222"/>
      <c r="M123" s="223"/>
      <c r="N123" s="222"/>
      <c r="O123" s="140"/>
      <c r="P123" s="140"/>
      <c r="Q123" s="140"/>
      <c r="R123" s="140"/>
      <c r="S123" s="223"/>
      <c r="T123" s="136">
        <f t="shared" si="10"/>
        <v>60</v>
      </c>
      <c r="U123" s="223">
        <v>6</v>
      </c>
    </row>
    <row r="124" spans="1:21" ht="76.5">
      <c r="A124" s="218" t="s">
        <v>36</v>
      </c>
      <c r="B124" s="217" t="s">
        <v>140</v>
      </c>
      <c r="C124" s="71" t="s">
        <v>243</v>
      </c>
      <c r="D124" s="60" t="s">
        <v>81</v>
      </c>
      <c r="E124" s="229">
        <v>23</v>
      </c>
      <c r="F124" s="222">
        <v>1</v>
      </c>
      <c r="G124" s="223">
        <v>1</v>
      </c>
      <c r="H124" s="222">
        <v>30</v>
      </c>
      <c r="I124" s="223">
        <v>30</v>
      </c>
      <c r="J124" s="222">
        <v>15</v>
      </c>
      <c r="K124" s="223">
        <v>15</v>
      </c>
      <c r="L124" s="222"/>
      <c r="M124" s="223"/>
      <c r="N124" s="222"/>
      <c r="O124" s="140"/>
      <c r="P124" s="140"/>
      <c r="Q124" s="140"/>
      <c r="R124" s="140"/>
      <c r="S124" s="223"/>
      <c r="T124" s="136">
        <f t="shared" si="10"/>
        <v>45</v>
      </c>
      <c r="U124" s="223">
        <v>5</v>
      </c>
    </row>
    <row r="125" spans="1:21">
      <c r="A125" s="218" t="s">
        <v>36</v>
      </c>
      <c r="B125" s="240" t="s">
        <v>55</v>
      </c>
      <c r="C125" s="255" t="s">
        <v>244</v>
      </c>
      <c r="D125" s="60" t="s">
        <v>29</v>
      </c>
      <c r="E125" s="209">
        <v>30</v>
      </c>
      <c r="F125" s="222">
        <v>1</v>
      </c>
      <c r="G125" s="223">
        <v>1</v>
      </c>
      <c r="H125" s="222">
        <v>30</v>
      </c>
      <c r="I125" s="223">
        <v>30</v>
      </c>
      <c r="J125" s="222">
        <v>10</v>
      </c>
      <c r="K125" s="223">
        <v>10</v>
      </c>
      <c r="L125" s="222">
        <v>5</v>
      </c>
      <c r="M125" s="223">
        <v>5</v>
      </c>
      <c r="N125" s="222"/>
      <c r="O125" s="140"/>
      <c r="P125" s="140"/>
      <c r="Q125" s="140"/>
      <c r="R125" s="140"/>
      <c r="S125" s="223"/>
      <c r="T125" s="136">
        <f t="shared" si="10"/>
        <v>45</v>
      </c>
      <c r="U125" s="223">
        <v>4</v>
      </c>
    </row>
    <row r="126" spans="1:21">
      <c r="A126" s="218" t="s">
        <v>36</v>
      </c>
      <c r="B126" s="240" t="s">
        <v>55</v>
      </c>
      <c r="C126" s="256" t="s">
        <v>245</v>
      </c>
      <c r="D126" s="60" t="s">
        <v>29</v>
      </c>
      <c r="E126" s="209">
        <v>30</v>
      </c>
      <c r="F126" s="222">
        <v>1</v>
      </c>
      <c r="G126" s="223">
        <v>1</v>
      </c>
      <c r="H126" s="222">
        <v>30</v>
      </c>
      <c r="I126" s="223">
        <v>30</v>
      </c>
      <c r="J126" s="222">
        <v>5</v>
      </c>
      <c r="K126" s="223">
        <v>5</v>
      </c>
      <c r="L126" s="222">
        <v>10</v>
      </c>
      <c r="M126" s="223">
        <v>10</v>
      </c>
      <c r="N126" s="222"/>
      <c r="O126" s="140"/>
      <c r="P126" s="140"/>
      <c r="Q126" s="140"/>
      <c r="R126" s="140"/>
      <c r="S126" s="223"/>
      <c r="T126" s="136">
        <f t="shared" si="10"/>
        <v>45</v>
      </c>
      <c r="U126" s="223">
        <v>4</v>
      </c>
    </row>
    <row r="127" spans="1:21">
      <c r="A127" s="218" t="s">
        <v>36</v>
      </c>
      <c r="B127" s="240" t="s">
        <v>55</v>
      </c>
      <c r="C127" s="256" t="s">
        <v>186</v>
      </c>
      <c r="D127" s="60" t="s">
        <v>29</v>
      </c>
      <c r="E127" s="209">
        <v>30</v>
      </c>
      <c r="F127" s="222">
        <v>1</v>
      </c>
      <c r="G127" s="223">
        <v>1</v>
      </c>
      <c r="H127" s="222">
        <v>60</v>
      </c>
      <c r="I127" s="223">
        <v>60</v>
      </c>
      <c r="J127" s="222">
        <v>30</v>
      </c>
      <c r="K127" s="223">
        <v>30</v>
      </c>
      <c r="L127" s="222"/>
      <c r="M127" s="223"/>
      <c r="N127" s="222"/>
      <c r="O127" s="140"/>
      <c r="P127" s="140"/>
      <c r="Q127" s="140"/>
      <c r="R127" s="140"/>
      <c r="S127" s="223"/>
      <c r="T127" s="136">
        <f t="shared" si="10"/>
        <v>90</v>
      </c>
      <c r="U127" s="223">
        <v>8</v>
      </c>
    </row>
    <row r="128" spans="1:21" ht="51">
      <c r="A128" s="218" t="s">
        <v>36</v>
      </c>
      <c r="B128" s="240" t="s">
        <v>55</v>
      </c>
      <c r="C128" s="217" t="s">
        <v>246</v>
      </c>
      <c r="D128" s="60" t="s">
        <v>29</v>
      </c>
      <c r="E128" s="209">
        <v>30</v>
      </c>
      <c r="F128" s="134">
        <v>1</v>
      </c>
      <c r="G128" s="135">
        <v>1</v>
      </c>
      <c r="H128" s="136">
        <v>30</v>
      </c>
      <c r="I128" s="144">
        <v>30</v>
      </c>
      <c r="J128" s="136">
        <v>30</v>
      </c>
      <c r="K128" s="144">
        <v>30</v>
      </c>
      <c r="L128" s="136"/>
      <c r="M128" s="144"/>
      <c r="N128" s="136"/>
      <c r="O128" s="142"/>
      <c r="P128" s="142"/>
      <c r="Q128" s="142"/>
      <c r="R128" s="142"/>
      <c r="S128" s="144"/>
      <c r="T128" s="136">
        <f t="shared" si="10"/>
        <v>60</v>
      </c>
      <c r="U128" s="144">
        <v>5</v>
      </c>
    </row>
    <row r="129" spans="1:21" ht="51">
      <c r="A129" s="218" t="s">
        <v>36</v>
      </c>
      <c r="B129" s="240" t="s">
        <v>55</v>
      </c>
      <c r="C129" s="139" t="s">
        <v>247</v>
      </c>
      <c r="D129" s="60" t="s">
        <v>29</v>
      </c>
      <c r="E129" s="209">
        <v>30</v>
      </c>
      <c r="F129" s="134">
        <v>1</v>
      </c>
      <c r="G129" s="135">
        <v>1</v>
      </c>
      <c r="H129" s="136">
        <v>30</v>
      </c>
      <c r="I129" s="144">
        <v>30</v>
      </c>
      <c r="J129" s="136">
        <v>30</v>
      </c>
      <c r="K129" s="144">
        <v>30</v>
      </c>
      <c r="L129" s="136"/>
      <c r="M129" s="144"/>
      <c r="N129" s="136"/>
      <c r="O129" s="142"/>
      <c r="P129" s="142"/>
      <c r="Q129" s="142"/>
      <c r="R129" s="142"/>
      <c r="S129" s="144"/>
      <c r="T129" s="136">
        <f t="shared" ref="T129:T143" si="11">(I129+K129+M129+N129+O129+P129+Q129+R129+S129)</f>
        <v>60</v>
      </c>
      <c r="U129" s="144">
        <v>6</v>
      </c>
    </row>
    <row r="130" spans="1:21">
      <c r="A130" s="218" t="s">
        <v>36</v>
      </c>
      <c r="B130" s="217" t="s">
        <v>153</v>
      </c>
      <c r="C130" s="137" t="s">
        <v>248</v>
      </c>
      <c r="D130" s="60" t="s">
        <v>81</v>
      </c>
      <c r="E130" s="209">
        <v>14</v>
      </c>
      <c r="F130" s="222">
        <v>1</v>
      </c>
      <c r="G130" s="223">
        <v>1</v>
      </c>
      <c r="H130" s="222">
        <v>30</v>
      </c>
      <c r="I130" s="223">
        <v>30</v>
      </c>
      <c r="J130" s="222">
        <v>30</v>
      </c>
      <c r="K130" s="223">
        <v>30</v>
      </c>
      <c r="L130" s="222"/>
      <c r="M130" s="223"/>
      <c r="N130" s="222"/>
      <c r="O130" s="140"/>
      <c r="P130" s="140"/>
      <c r="Q130" s="140"/>
      <c r="R130" s="140"/>
      <c r="S130" s="223"/>
      <c r="T130" s="136">
        <f t="shared" si="11"/>
        <v>60</v>
      </c>
      <c r="U130" s="223">
        <v>5</v>
      </c>
    </row>
    <row r="131" spans="1:21">
      <c r="A131" s="218" t="s">
        <v>36</v>
      </c>
      <c r="B131" s="217" t="s">
        <v>154</v>
      </c>
      <c r="C131" s="137" t="s">
        <v>248</v>
      </c>
      <c r="D131" s="60" t="s">
        <v>81</v>
      </c>
      <c r="E131" s="209">
        <v>15</v>
      </c>
      <c r="F131" s="222">
        <v>1</v>
      </c>
      <c r="G131" s="223">
        <v>1</v>
      </c>
      <c r="H131" s="222">
        <v>30</v>
      </c>
      <c r="I131" s="223">
        <v>30</v>
      </c>
      <c r="J131" s="222">
        <v>30</v>
      </c>
      <c r="K131" s="223">
        <v>30</v>
      </c>
      <c r="L131" s="222"/>
      <c r="M131" s="223"/>
      <c r="N131" s="222"/>
      <c r="O131" s="140"/>
      <c r="P131" s="140"/>
      <c r="Q131" s="140"/>
      <c r="R131" s="140"/>
      <c r="S131" s="223"/>
      <c r="T131" s="136">
        <f t="shared" si="11"/>
        <v>60</v>
      </c>
      <c r="U131" s="223">
        <v>5</v>
      </c>
    </row>
    <row r="132" spans="1:21">
      <c r="A132" s="218" t="s">
        <v>36</v>
      </c>
      <c r="B132" s="217" t="s">
        <v>153</v>
      </c>
      <c r="C132" s="137" t="s">
        <v>249</v>
      </c>
      <c r="D132" s="60" t="s">
        <v>81</v>
      </c>
      <c r="E132" s="209">
        <v>14</v>
      </c>
      <c r="F132" s="222">
        <v>1</v>
      </c>
      <c r="G132" s="223">
        <v>1</v>
      </c>
      <c r="H132" s="222">
        <v>30</v>
      </c>
      <c r="I132" s="223">
        <v>30</v>
      </c>
      <c r="J132" s="222">
        <v>30</v>
      </c>
      <c r="K132" s="223">
        <v>30</v>
      </c>
      <c r="L132" s="222"/>
      <c r="M132" s="223"/>
      <c r="N132" s="222"/>
      <c r="O132" s="140"/>
      <c r="P132" s="140"/>
      <c r="Q132" s="140"/>
      <c r="R132" s="140"/>
      <c r="S132" s="223"/>
      <c r="T132" s="136">
        <f t="shared" si="11"/>
        <v>60</v>
      </c>
      <c r="U132" s="223">
        <v>5</v>
      </c>
    </row>
    <row r="133" spans="1:21">
      <c r="A133" s="218" t="s">
        <v>36</v>
      </c>
      <c r="B133" s="217" t="s">
        <v>154</v>
      </c>
      <c r="C133" s="137" t="s">
        <v>249</v>
      </c>
      <c r="D133" s="60" t="s">
        <v>81</v>
      </c>
      <c r="E133" s="209">
        <v>15</v>
      </c>
      <c r="F133" s="222">
        <v>1</v>
      </c>
      <c r="G133" s="223">
        <v>1</v>
      </c>
      <c r="H133" s="222">
        <v>30</v>
      </c>
      <c r="I133" s="223">
        <v>30</v>
      </c>
      <c r="J133" s="222">
        <v>30</v>
      </c>
      <c r="K133" s="223">
        <v>30</v>
      </c>
      <c r="L133" s="222"/>
      <c r="M133" s="223"/>
      <c r="N133" s="222"/>
      <c r="O133" s="140"/>
      <c r="P133" s="140"/>
      <c r="Q133" s="140"/>
      <c r="R133" s="140"/>
      <c r="S133" s="223"/>
      <c r="T133" s="136">
        <f t="shared" si="11"/>
        <v>60</v>
      </c>
      <c r="U133" s="223">
        <v>5</v>
      </c>
    </row>
    <row r="134" spans="1:21">
      <c r="A134" s="218" t="s">
        <v>36</v>
      </c>
      <c r="B134" s="217" t="s">
        <v>250</v>
      </c>
      <c r="C134" s="227" t="s">
        <v>251</v>
      </c>
      <c r="D134" s="60" t="s">
        <v>81</v>
      </c>
      <c r="E134" s="209">
        <v>14</v>
      </c>
      <c r="F134" s="222">
        <v>1</v>
      </c>
      <c r="G134" s="223">
        <v>1</v>
      </c>
      <c r="H134" s="222">
        <v>30</v>
      </c>
      <c r="I134" s="223">
        <v>30</v>
      </c>
      <c r="J134" s="222">
        <v>30</v>
      </c>
      <c r="K134" s="223">
        <v>30</v>
      </c>
      <c r="L134" s="222"/>
      <c r="M134" s="223"/>
      <c r="N134" s="222"/>
      <c r="O134" s="140"/>
      <c r="P134" s="140"/>
      <c r="Q134" s="140"/>
      <c r="R134" s="140"/>
      <c r="S134" s="223"/>
      <c r="T134" s="136">
        <f t="shared" si="11"/>
        <v>60</v>
      </c>
      <c r="U134" s="223">
        <v>6</v>
      </c>
    </row>
    <row r="135" spans="1:21">
      <c r="A135" s="218" t="s">
        <v>36</v>
      </c>
      <c r="B135" s="217" t="s">
        <v>154</v>
      </c>
      <c r="C135" s="227" t="s">
        <v>251</v>
      </c>
      <c r="D135" s="60" t="s">
        <v>81</v>
      </c>
      <c r="E135" s="209">
        <v>15</v>
      </c>
      <c r="F135" s="222">
        <v>1</v>
      </c>
      <c r="G135" s="223">
        <v>1</v>
      </c>
      <c r="H135" s="222">
        <v>30</v>
      </c>
      <c r="I135" s="223">
        <v>30</v>
      </c>
      <c r="J135" s="222">
        <v>30</v>
      </c>
      <c r="K135" s="223">
        <v>30</v>
      </c>
      <c r="L135" s="222"/>
      <c r="M135" s="223"/>
      <c r="N135" s="222"/>
      <c r="O135" s="140"/>
      <c r="P135" s="140"/>
      <c r="Q135" s="140"/>
      <c r="R135" s="140"/>
      <c r="S135" s="223"/>
      <c r="T135" s="136">
        <f t="shared" si="11"/>
        <v>60</v>
      </c>
      <c r="U135" s="223">
        <v>6</v>
      </c>
    </row>
    <row r="136" spans="1:21" ht="63.75">
      <c r="A136" s="218" t="s">
        <v>36</v>
      </c>
      <c r="B136" s="217" t="s">
        <v>153</v>
      </c>
      <c r="C136" s="139" t="s">
        <v>252</v>
      </c>
      <c r="D136" s="60" t="s">
        <v>81</v>
      </c>
      <c r="E136" s="209">
        <v>14</v>
      </c>
      <c r="F136" s="222">
        <v>1</v>
      </c>
      <c r="G136" s="223">
        <v>1</v>
      </c>
      <c r="H136" s="222">
        <v>30</v>
      </c>
      <c r="I136" s="223">
        <v>30</v>
      </c>
      <c r="J136" s="222">
        <v>30</v>
      </c>
      <c r="K136" s="223">
        <v>30</v>
      </c>
      <c r="L136" s="222"/>
      <c r="M136" s="223"/>
      <c r="N136" s="222"/>
      <c r="O136" s="140"/>
      <c r="P136" s="140"/>
      <c r="Q136" s="140"/>
      <c r="R136" s="140"/>
      <c r="S136" s="223"/>
      <c r="T136" s="136">
        <f t="shared" si="11"/>
        <v>60</v>
      </c>
      <c r="U136" s="223">
        <v>5</v>
      </c>
    </row>
    <row r="137" spans="1:21" ht="63.75">
      <c r="A137" s="218" t="s">
        <v>36</v>
      </c>
      <c r="B137" s="217" t="s">
        <v>154</v>
      </c>
      <c r="C137" s="139" t="s">
        <v>252</v>
      </c>
      <c r="D137" s="60" t="s">
        <v>81</v>
      </c>
      <c r="E137" s="209">
        <v>15</v>
      </c>
      <c r="F137" s="222">
        <v>1</v>
      </c>
      <c r="G137" s="223">
        <v>1</v>
      </c>
      <c r="H137" s="222">
        <v>30</v>
      </c>
      <c r="I137" s="223">
        <v>30</v>
      </c>
      <c r="J137" s="222">
        <v>30</v>
      </c>
      <c r="K137" s="223">
        <v>30</v>
      </c>
      <c r="L137" s="222"/>
      <c r="M137" s="223"/>
      <c r="N137" s="222"/>
      <c r="O137" s="140"/>
      <c r="P137" s="140"/>
      <c r="Q137" s="140"/>
      <c r="R137" s="140"/>
      <c r="S137" s="223"/>
      <c r="T137" s="136">
        <f t="shared" si="11"/>
        <v>60</v>
      </c>
      <c r="U137" s="223">
        <v>5</v>
      </c>
    </row>
    <row r="138" spans="1:21" ht="63.75">
      <c r="A138" s="218" t="s">
        <v>36</v>
      </c>
      <c r="B138" s="217" t="s">
        <v>153</v>
      </c>
      <c r="C138" s="139" t="s">
        <v>253</v>
      </c>
      <c r="D138" s="60" t="s">
        <v>81</v>
      </c>
      <c r="E138" s="209">
        <v>14</v>
      </c>
      <c r="F138" s="222">
        <v>1</v>
      </c>
      <c r="G138" s="223">
        <v>1</v>
      </c>
      <c r="H138" s="222">
        <v>30</v>
      </c>
      <c r="I138" s="223">
        <v>30</v>
      </c>
      <c r="J138" s="222">
        <v>15</v>
      </c>
      <c r="K138" s="223">
        <v>15</v>
      </c>
      <c r="L138" s="222"/>
      <c r="M138" s="223"/>
      <c r="N138" s="222"/>
      <c r="O138" s="140"/>
      <c r="P138" s="140"/>
      <c r="Q138" s="140"/>
      <c r="R138" s="140"/>
      <c r="S138" s="223"/>
      <c r="T138" s="136">
        <f t="shared" si="11"/>
        <v>45</v>
      </c>
      <c r="U138" s="223">
        <v>5</v>
      </c>
    </row>
    <row r="139" spans="1:21" ht="63.75">
      <c r="A139" s="218" t="s">
        <v>36</v>
      </c>
      <c r="B139" s="217" t="s">
        <v>154</v>
      </c>
      <c r="C139" s="139" t="s">
        <v>253</v>
      </c>
      <c r="D139" s="60" t="s">
        <v>81</v>
      </c>
      <c r="E139" s="209">
        <v>15</v>
      </c>
      <c r="F139" s="222">
        <v>1</v>
      </c>
      <c r="G139" s="223">
        <v>1</v>
      </c>
      <c r="H139" s="222">
        <v>30</v>
      </c>
      <c r="I139" s="223">
        <v>30</v>
      </c>
      <c r="J139" s="222">
        <v>15</v>
      </c>
      <c r="K139" s="223">
        <v>15</v>
      </c>
      <c r="L139" s="222"/>
      <c r="M139" s="223"/>
      <c r="N139" s="222"/>
      <c r="O139" s="140"/>
      <c r="P139" s="140"/>
      <c r="Q139" s="140"/>
      <c r="R139" s="140"/>
      <c r="S139" s="223"/>
      <c r="T139" s="136">
        <f t="shared" si="11"/>
        <v>45</v>
      </c>
      <c r="U139" s="223">
        <v>5</v>
      </c>
    </row>
    <row r="140" spans="1:21" ht="51">
      <c r="A140" s="218" t="s">
        <v>36</v>
      </c>
      <c r="B140" s="217" t="s">
        <v>153</v>
      </c>
      <c r="C140" s="71" t="s">
        <v>254</v>
      </c>
      <c r="D140" s="60" t="s">
        <v>81</v>
      </c>
      <c r="E140" s="209">
        <v>14</v>
      </c>
      <c r="F140" s="222">
        <v>1</v>
      </c>
      <c r="G140" s="223">
        <v>1</v>
      </c>
      <c r="H140" s="222">
        <v>30</v>
      </c>
      <c r="I140" s="223">
        <v>30</v>
      </c>
      <c r="J140" s="222">
        <v>15</v>
      </c>
      <c r="K140" s="223">
        <v>15</v>
      </c>
      <c r="L140" s="222"/>
      <c r="M140" s="223"/>
      <c r="N140" s="222"/>
      <c r="O140" s="140"/>
      <c r="P140" s="140"/>
      <c r="Q140" s="140"/>
      <c r="R140" s="140"/>
      <c r="S140" s="223"/>
      <c r="T140" s="136">
        <f t="shared" si="11"/>
        <v>45</v>
      </c>
      <c r="U140" s="223">
        <v>4</v>
      </c>
    </row>
    <row r="141" spans="1:21" ht="51">
      <c r="A141" s="218" t="s">
        <v>36</v>
      </c>
      <c r="B141" s="217" t="s">
        <v>154</v>
      </c>
      <c r="C141" s="71" t="s">
        <v>254</v>
      </c>
      <c r="D141" s="60" t="s">
        <v>81</v>
      </c>
      <c r="E141" s="209">
        <v>15</v>
      </c>
      <c r="F141" s="222">
        <v>1</v>
      </c>
      <c r="G141" s="223">
        <v>1</v>
      </c>
      <c r="H141" s="222">
        <v>30</v>
      </c>
      <c r="I141" s="223">
        <v>30</v>
      </c>
      <c r="J141" s="222">
        <v>15</v>
      </c>
      <c r="K141" s="223">
        <v>15</v>
      </c>
      <c r="L141" s="222"/>
      <c r="M141" s="223"/>
      <c r="N141" s="222"/>
      <c r="O141" s="140"/>
      <c r="P141" s="140"/>
      <c r="Q141" s="140"/>
      <c r="R141" s="140"/>
      <c r="S141" s="223"/>
      <c r="T141" s="136">
        <f t="shared" si="11"/>
        <v>45</v>
      </c>
      <c r="U141" s="223">
        <v>4</v>
      </c>
    </row>
    <row r="142" spans="1:21" ht="25.5">
      <c r="A142" s="218" t="s">
        <v>36</v>
      </c>
      <c r="B142" s="257" t="s">
        <v>160</v>
      </c>
      <c r="C142" s="71" t="s">
        <v>255</v>
      </c>
      <c r="D142" s="216" t="s">
        <v>136</v>
      </c>
      <c r="E142" s="209">
        <v>37</v>
      </c>
      <c r="F142" s="134">
        <v>1</v>
      </c>
      <c r="G142" s="135">
        <v>1</v>
      </c>
      <c r="H142" s="136">
        <v>30</v>
      </c>
      <c r="I142" s="144">
        <v>30</v>
      </c>
      <c r="J142" s="136">
        <v>30</v>
      </c>
      <c r="K142" s="144">
        <v>30</v>
      </c>
      <c r="L142" s="136"/>
      <c r="M142" s="144"/>
      <c r="N142" s="136"/>
      <c r="O142" s="142"/>
      <c r="P142" s="142"/>
      <c r="Q142" s="142"/>
      <c r="R142" s="142"/>
      <c r="S142" s="144"/>
      <c r="T142" s="136">
        <f t="shared" si="11"/>
        <v>60</v>
      </c>
      <c r="U142" s="144">
        <v>5</v>
      </c>
    </row>
    <row r="143" spans="1:21">
      <c r="A143" s="218" t="s">
        <v>36</v>
      </c>
      <c r="B143" s="257" t="s">
        <v>160</v>
      </c>
      <c r="C143" s="71" t="s">
        <v>256</v>
      </c>
      <c r="D143" s="216" t="s">
        <v>136</v>
      </c>
      <c r="E143" s="209">
        <v>37</v>
      </c>
      <c r="F143" s="134">
        <v>1</v>
      </c>
      <c r="G143" s="135">
        <v>1</v>
      </c>
      <c r="H143" s="136">
        <v>30</v>
      </c>
      <c r="I143" s="144">
        <v>30</v>
      </c>
      <c r="J143" s="136">
        <v>20</v>
      </c>
      <c r="K143" s="144">
        <v>20</v>
      </c>
      <c r="L143" s="136">
        <v>10</v>
      </c>
      <c r="M143" s="144">
        <v>10</v>
      </c>
      <c r="N143" s="136"/>
      <c r="O143" s="142"/>
      <c r="P143" s="142"/>
      <c r="Q143" s="142"/>
      <c r="R143" s="142"/>
      <c r="S143" s="144"/>
      <c r="T143" s="136">
        <f t="shared" si="11"/>
        <v>60</v>
      </c>
      <c r="U143" s="144">
        <v>6</v>
      </c>
    </row>
    <row r="144" spans="1:21" ht="38.25">
      <c r="A144" s="218" t="s">
        <v>36</v>
      </c>
      <c r="B144" s="257" t="s">
        <v>160</v>
      </c>
      <c r="C144" s="71" t="s">
        <v>257</v>
      </c>
      <c r="D144" s="216" t="s">
        <v>136</v>
      </c>
      <c r="E144" s="209">
        <v>37</v>
      </c>
      <c r="F144" s="134">
        <v>1</v>
      </c>
      <c r="G144" s="135">
        <v>1</v>
      </c>
      <c r="H144" s="136">
        <v>30</v>
      </c>
      <c r="I144" s="144">
        <v>30</v>
      </c>
      <c r="J144" s="136">
        <v>30</v>
      </c>
      <c r="K144" s="144">
        <v>30</v>
      </c>
      <c r="L144" s="136"/>
      <c r="M144" s="144"/>
      <c r="N144" s="136"/>
      <c r="O144" s="142"/>
      <c r="P144" s="142"/>
      <c r="Q144" s="142"/>
      <c r="R144" s="142"/>
      <c r="S144" s="144"/>
      <c r="T144" s="136">
        <f t="shared" ref="T144:T158" si="12">(I144+K144+M144+N144+O144+P144+Q144+R144+S144)</f>
        <v>60</v>
      </c>
      <c r="U144" s="144">
        <v>5</v>
      </c>
    </row>
    <row r="145" spans="1:21" ht="51">
      <c r="A145" s="218" t="s">
        <v>36</v>
      </c>
      <c r="B145" s="257" t="s">
        <v>160</v>
      </c>
      <c r="C145" s="71" t="s">
        <v>258</v>
      </c>
      <c r="D145" s="216" t="s">
        <v>136</v>
      </c>
      <c r="E145" s="209">
        <v>37</v>
      </c>
      <c r="F145" s="134">
        <v>1</v>
      </c>
      <c r="G145" s="135">
        <v>1</v>
      </c>
      <c r="H145" s="136">
        <v>30</v>
      </c>
      <c r="I145" s="144">
        <v>30</v>
      </c>
      <c r="J145" s="136">
        <v>30</v>
      </c>
      <c r="K145" s="144">
        <v>30</v>
      </c>
      <c r="L145" s="136"/>
      <c r="M145" s="144"/>
      <c r="N145" s="136"/>
      <c r="O145" s="142"/>
      <c r="P145" s="142"/>
      <c r="Q145" s="142"/>
      <c r="R145" s="142"/>
      <c r="S145" s="144"/>
      <c r="T145" s="136">
        <f t="shared" si="12"/>
        <v>60</v>
      </c>
      <c r="U145" s="144">
        <v>5</v>
      </c>
    </row>
    <row r="146" spans="1:21" ht="25.5">
      <c r="A146" s="218" t="s">
        <v>36</v>
      </c>
      <c r="B146" s="217" t="s">
        <v>163</v>
      </c>
      <c r="C146" s="139" t="s">
        <v>259</v>
      </c>
      <c r="D146" s="71" t="s">
        <v>29</v>
      </c>
      <c r="E146" s="209">
        <v>13</v>
      </c>
      <c r="F146" s="222">
        <v>1</v>
      </c>
      <c r="G146" s="223">
        <v>1</v>
      </c>
      <c r="H146" s="222">
        <v>30</v>
      </c>
      <c r="I146" s="223">
        <v>30</v>
      </c>
      <c r="J146" s="222">
        <v>15</v>
      </c>
      <c r="K146" s="223">
        <v>15</v>
      </c>
      <c r="L146" s="222"/>
      <c r="M146" s="223"/>
      <c r="N146" s="222"/>
      <c r="O146" s="140"/>
      <c r="P146" s="140"/>
      <c r="Q146" s="140"/>
      <c r="R146" s="140"/>
      <c r="S146" s="223"/>
      <c r="T146" s="136">
        <f t="shared" si="12"/>
        <v>45</v>
      </c>
      <c r="U146" s="223">
        <v>4</v>
      </c>
    </row>
    <row r="147" spans="1:21" ht="25.5">
      <c r="A147" s="218" t="s">
        <v>36</v>
      </c>
      <c r="B147" s="217" t="s">
        <v>165</v>
      </c>
      <c r="C147" s="139" t="s">
        <v>259</v>
      </c>
      <c r="D147" s="71" t="s">
        <v>29</v>
      </c>
      <c r="E147" s="209">
        <v>24</v>
      </c>
      <c r="F147" s="222">
        <v>1</v>
      </c>
      <c r="G147" s="223">
        <v>1</v>
      </c>
      <c r="H147" s="222">
        <v>30</v>
      </c>
      <c r="I147" s="223">
        <v>30</v>
      </c>
      <c r="J147" s="222">
        <v>15</v>
      </c>
      <c r="K147" s="223">
        <v>15</v>
      </c>
      <c r="L147" s="222"/>
      <c r="M147" s="223"/>
      <c r="N147" s="222"/>
      <c r="O147" s="140"/>
      <c r="P147" s="140"/>
      <c r="Q147" s="140"/>
      <c r="R147" s="140"/>
      <c r="S147" s="223"/>
      <c r="T147" s="136">
        <f t="shared" si="12"/>
        <v>45</v>
      </c>
      <c r="U147" s="223">
        <v>4</v>
      </c>
    </row>
    <row r="148" spans="1:21">
      <c r="A148" s="218" t="s">
        <v>36</v>
      </c>
      <c r="B148" s="217" t="s">
        <v>163</v>
      </c>
      <c r="C148" s="139" t="s">
        <v>188</v>
      </c>
      <c r="D148" s="71" t="s">
        <v>29</v>
      </c>
      <c r="E148" s="209">
        <v>13</v>
      </c>
      <c r="F148" s="222">
        <v>1</v>
      </c>
      <c r="G148" s="223">
        <v>1</v>
      </c>
      <c r="H148" s="222">
        <v>30</v>
      </c>
      <c r="I148" s="223">
        <v>30</v>
      </c>
      <c r="J148" s="222">
        <v>15</v>
      </c>
      <c r="K148" s="223">
        <v>15</v>
      </c>
      <c r="L148" s="222"/>
      <c r="M148" s="223"/>
      <c r="N148" s="222"/>
      <c r="O148" s="140"/>
      <c r="P148" s="140"/>
      <c r="Q148" s="140"/>
      <c r="R148" s="140"/>
      <c r="S148" s="223"/>
      <c r="T148" s="136">
        <f t="shared" si="12"/>
        <v>45</v>
      </c>
      <c r="U148" s="223">
        <v>4</v>
      </c>
    </row>
    <row r="149" spans="1:21">
      <c r="A149" s="218" t="s">
        <v>36</v>
      </c>
      <c r="B149" s="217" t="s">
        <v>165</v>
      </c>
      <c r="C149" s="139" t="s">
        <v>188</v>
      </c>
      <c r="D149" s="71" t="s">
        <v>29</v>
      </c>
      <c r="E149" s="209">
        <v>24</v>
      </c>
      <c r="F149" s="222">
        <v>1</v>
      </c>
      <c r="G149" s="223">
        <v>1</v>
      </c>
      <c r="H149" s="222">
        <v>30</v>
      </c>
      <c r="I149" s="223">
        <v>30</v>
      </c>
      <c r="J149" s="222">
        <v>15</v>
      </c>
      <c r="K149" s="223">
        <v>15</v>
      </c>
      <c r="L149" s="222"/>
      <c r="M149" s="223"/>
      <c r="N149" s="222"/>
      <c r="O149" s="140"/>
      <c r="P149" s="140"/>
      <c r="Q149" s="140"/>
      <c r="R149" s="140"/>
      <c r="S149" s="223"/>
      <c r="T149" s="136">
        <f t="shared" si="12"/>
        <v>45</v>
      </c>
      <c r="U149" s="223">
        <v>4</v>
      </c>
    </row>
    <row r="150" spans="1:21">
      <c r="A150" s="218" t="s">
        <v>36</v>
      </c>
      <c r="B150" s="217" t="s">
        <v>163</v>
      </c>
      <c r="C150" s="137" t="s">
        <v>189</v>
      </c>
      <c r="D150" s="71" t="s">
        <v>29</v>
      </c>
      <c r="E150" s="209">
        <v>13</v>
      </c>
      <c r="F150" s="222">
        <v>1</v>
      </c>
      <c r="G150" s="223">
        <v>1</v>
      </c>
      <c r="H150" s="222">
        <v>60</v>
      </c>
      <c r="I150" s="223">
        <v>60</v>
      </c>
      <c r="J150" s="222">
        <v>30</v>
      </c>
      <c r="K150" s="223">
        <v>30</v>
      </c>
      <c r="L150" s="222"/>
      <c r="M150" s="223"/>
      <c r="N150" s="222"/>
      <c r="O150" s="140"/>
      <c r="P150" s="140"/>
      <c r="Q150" s="140"/>
      <c r="R150" s="140"/>
      <c r="S150" s="223"/>
      <c r="T150" s="136">
        <f t="shared" si="12"/>
        <v>90</v>
      </c>
      <c r="U150" s="223">
        <v>8</v>
      </c>
    </row>
    <row r="151" spans="1:21">
      <c r="A151" s="218" t="s">
        <v>36</v>
      </c>
      <c r="B151" s="217" t="s">
        <v>165</v>
      </c>
      <c r="C151" s="137" t="s">
        <v>189</v>
      </c>
      <c r="D151" s="71" t="s">
        <v>29</v>
      </c>
      <c r="E151" s="209">
        <v>24</v>
      </c>
      <c r="F151" s="222">
        <v>1</v>
      </c>
      <c r="G151" s="223">
        <v>1</v>
      </c>
      <c r="H151" s="222">
        <v>60</v>
      </c>
      <c r="I151" s="223">
        <v>60</v>
      </c>
      <c r="J151" s="222">
        <v>30</v>
      </c>
      <c r="K151" s="223">
        <v>30</v>
      </c>
      <c r="L151" s="222"/>
      <c r="M151" s="223"/>
      <c r="N151" s="222"/>
      <c r="O151" s="140"/>
      <c r="P151" s="140"/>
      <c r="Q151" s="140"/>
      <c r="R151" s="140"/>
      <c r="S151" s="223"/>
      <c r="T151" s="136">
        <f t="shared" si="12"/>
        <v>90</v>
      </c>
      <c r="U151" s="223">
        <v>8</v>
      </c>
    </row>
    <row r="152" spans="1:21">
      <c r="A152" s="218" t="s">
        <v>36</v>
      </c>
      <c r="B152" s="217" t="s">
        <v>163</v>
      </c>
      <c r="C152" s="137" t="s">
        <v>260</v>
      </c>
      <c r="D152" s="71" t="s">
        <v>29</v>
      </c>
      <c r="E152" s="209">
        <v>13</v>
      </c>
      <c r="F152" s="222">
        <v>1</v>
      </c>
      <c r="G152" s="223">
        <v>1</v>
      </c>
      <c r="H152" s="222">
        <v>30</v>
      </c>
      <c r="I152" s="223">
        <v>30</v>
      </c>
      <c r="J152" s="222">
        <v>15</v>
      </c>
      <c r="K152" s="223">
        <v>15</v>
      </c>
      <c r="L152" s="222"/>
      <c r="M152" s="223"/>
      <c r="N152" s="222"/>
      <c r="O152" s="140"/>
      <c r="P152" s="140"/>
      <c r="Q152" s="140"/>
      <c r="R152" s="140"/>
      <c r="S152" s="223"/>
      <c r="T152" s="136">
        <f t="shared" si="12"/>
        <v>45</v>
      </c>
      <c r="U152" s="223">
        <v>4</v>
      </c>
    </row>
    <row r="153" spans="1:21">
      <c r="A153" s="218" t="s">
        <v>36</v>
      </c>
      <c r="B153" s="217" t="s">
        <v>165</v>
      </c>
      <c r="C153" s="137" t="s">
        <v>260</v>
      </c>
      <c r="D153" s="71" t="s">
        <v>29</v>
      </c>
      <c r="E153" s="209">
        <v>24</v>
      </c>
      <c r="F153" s="222">
        <v>1</v>
      </c>
      <c r="G153" s="223">
        <v>1</v>
      </c>
      <c r="H153" s="222">
        <v>30</v>
      </c>
      <c r="I153" s="223">
        <v>30</v>
      </c>
      <c r="J153" s="222">
        <v>15</v>
      </c>
      <c r="K153" s="223">
        <v>15</v>
      </c>
      <c r="L153" s="222"/>
      <c r="M153" s="223"/>
      <c r="N153" s="222"/>
      <c r="O153" s="140"/>
      <c r="P153" s="140"/>
      <c r="Q153" s="140"/>
      <c r="R153" s="140"/>
      <c r="S153" s="223"/>
      <c r="T153" s="136">
        <f t="shared" si="12"/>
        <v>45</v>
      </c>
      <c r="U153" s="223">
        <v>4</v>
      </c>
    </row>
    <row r="154" spans="1:21" ht="63.75">
      <c r="A154" s="218" t="s">
        <v>36</v>
      </c>
      <c r="B154" s="217" t="s">
        <v>163</v>
      </c>
      <c r="C154" s="71" t="s">
        <v>261</v>
      </c>
      <c r="D154" s="71" t="s">
        <v>29</v>
      </c>
      <c r="E154" s="209">
        <v>13</v>
      </c>
      <c r="F154" s="222">
        <v>1</v>
      </c>
      <c r="G154" s="223">
        <v>1</v>
      </c>
      <c r="H154" s="222">
        <v>30</v>
      </c>
      <c r="I154" s="223">
        <v>30</v>
      </c>
      <c r="J154" s="222">
        <v>30</v>
      </c>
      <c r="K154" s="223">
        <v>30</v>
      </c>
      <c r="L154" s="222"/>
      <c r="M154" s="223"/>
      <c r="N154" s="222"/>
      <c r="O154" s="140"/>
      <c r="P154" s="140"/>
      <c r="Q154" s="140"/>
      <c r="R154" s="140"/>
      <c r="S154" s="223"/>
      <c r="T154" s="136">
        <f t="shared" si="12"/>
        <v>60</v>
      </c>
      <c r="U154" s="223">
        <v>5</v>
      </c>
    </row>
    <row r="155" spans="1:21" ht="63.75">
      <c r="A155" s="218" t="s">
        <v>36</v>
      </c>
      <c r="B155" s="217" t="s">
        <v>165</v>
      </c>
      <c r="C155" s="139" t="s">
        <v>262</v>
      </c>
      <c r="D155" s="71" t="s">
        <v>29</v>
      </c>
      <c r="E155" s="209">
        <v>24</v>
      </c>
      <c r="F155" s="222">
        <v>1</v>
      </c>
      <c r="G155" s="223">
        <v>1</v>
      </c>
      <c r="H155" s="222">
        <v>30</v>
      </c>
      <c r="I155" s="223">
        <v>30</v>
      </c>
      <c r="J155" s="222">
        <v>30</v>
      </c>
      <c r="K155" s="223">
        <v>30</v>
      </c>
      <c r="L155" s="222"/>
      <c r="M155" s="223"/>
      <c r="N155" s="222"/>
      <c r="O155" s="140"/>
      <c r="P155" s="140"/>
      <c r="Q155" s="140"/>
      <c r="R155" s="140"/>
      <c r="S155" s="223"/>
      <c r="T155" s="136">
        <f t="shared" si="12"/>
        <v>60</v>
      </c>
      <c r="U155" s="223">
        <v>5</v>
      </c>
    </row>
    <row r="156" spans="1:21" ht="51">
      <c r="A156" s="218" t="s">
        <v>36</v>
      </c>
      <c r="B156" s="217" t="s">
        <v>163</v>
      </c>
      <c r="C156" s="139" t="s">
        <v>263</v>
      </c>
      <c r="D156" s="71" t="s">
        <v>29</v>
      </c>
      <c r="E156" s="209">
        <v>13</v>
      </c>
      <c r="F156" s="222">
        <v>1</v>
      </c>
      <c r="G156" s="223">
        <v>1</v>
      </c>
      <c r="H156" s="222">
        <v>30</v>
      </c>
      <c r="I156" s="223">
        <v>30</v>
      </c>
      <c r="J156" s="222">
        <v>30</v>
      </c>
      <c r="K156" s="223">
        <v>30</v>
      </c>
      <c r="L156" s="222"/>
      <c r="M156" s="223"/>
      <c r="N156" s="222"/>
      <c r="O156" s="140"/>
      <c r="P156" s="140"/>
      <c r="Q156" s="140"/>
      <c r="R156" s="140"/>
      <c r="S156" s="223"/>
      <c r="T156" s="136">
        <f t="shared" si="12"/>
        <v>60</v>
      </c>
      <c r="U156" s="223">
        <v>5</v>
      </c>
    </row>
    <row r="157" spans="1:21" ht="51">
      <c r="A157" s="218" t="s">
        <v>36</v>
      </c>
      <c r="B157" s="217" t="s">
        <v>165</v>
      </c>
      <c r="C157" s="139" t="s">
        <v>263</v>
      </c>
      <c r="D157" s="71" t="s">
        <v>29</v>
      </c>
      <c r="E157" s="209">
        <v>24</v>
      </c>
      <c r="F157" s="222">
        <v>1</v>
      </c>
      <c r="G157" s="223">
        <v>1</v>
      </c>
      <c r="H157" s="222">
        <v>30</v>
      </c>
      <c r="I157" s="223">
        <v>30</v>
      </c>
      <c r="J157" s="222">
        <v>30</v>
      </c>
      <c r="K157" s="223">
        <v>30</v>
      </c>
      <c r="L157" s="222"/>
      <c r="M157" s="223"/>
      <c r="N157" s="222"/>
      <c r="O157" s="140"/>
      <c r="P157" s="140"/>
      <c r="Q157" s="140"/>
      <c r="R157" s="140"/>
      <c r="S157" s="223"/>
      <c r="T157" s="136">
        <f t="shared" si="12"/>
        <v>60</v>
      </c>
      <c r="U157" s="223">
        <v>5</v>
      </c>
    </row>
    <row r="158" spans="1:21">
      <c r="A158" s="218" t="s">
        <v>36</v>
      </c>
      <c r="B158" s="217" t="s">
        <v>183</v>
      </c>
      <c r="C158" s="227" t="s">
        <v>244</v>
      </c>
      <c r="D158" s="71" t="s">
        <v>29</v>
      </c>
      <c r="E158" s="209">
        <v>9</v>
      </c>
      <c r="F158" s="222">
        <v>1</v>
      </c>
      <c r="G158" s="223">
        <v>1</v>
      </c>
      <c r="H158" s="222">
        <v>10</v>
      </c>
      <c r="I158" s="223">
        <v>10</v>
      </c>
      <c r="J158" s="222">
        <v>3</v>
      </c>
      <c r="K158" s="223">
        <v>3</v>
      </c>
      <c r="L158" s="222">
        <v>2</v>
      </c>
      <c r="M158" s="223">
        <v>2</v>
      </c>
      <c r="N158" s="222"/>
      <c r="O158" s="140"/>
      <c r="P158" s="140"/>
      <c r="Q158" s="140"/>
      <c r="R158" s="140"/>
      <c r="S158" s="223"/>
      <c r="T158" s="136">
        <f t="shared" si="12"/>
        <v>15</v>
      </c>
      <c r="U158" s="223">
        <v>4</v>
      </c>
    </row>
    <row r="159" spans="1:21">
      <c r="A159" s="218" t="s">
        <v>36</v>
      </c>
      <c r="B159" s="217" t="s">
        <v>183</v>
      </c>
      <c r="C159" s="256" t="s">
        <v>186</v>
      </c>
      <c r="D159" s="71" t="s">
        <v>29</v>
      </c>
      <c r="E159" s="209">
        <v>9</v>
      </c>
      <c r="F159" s="222">
        <v>1</v>
      </c>
      <c r="G159" s="223">
        <v>1</v>
      </c>
      <c r="H159" s="222">
        <v>20</v>
      </c>
      <c r="I159" s="223">
        <v>20</v>
      </c>
      <c r="J159" s="222">
        <v>10</v>
      </c>
      <c r="K159" s="223">
        <v>10</v>
      </c>
      <c r="L159" s="222"/>
      <c r="M159" s="223"/>
      <c r="N159" s="222"/>
      <c r="O159" s="140"/>
      <c r="P159" s="140"/>
      <c r="Q159" s="140"/>
      <c r="R159" s="140"/>
      <c r="S159" s="223"/>
      <c r="T159" s="136">
        <f t="shared" ref="T159:T164" si="13">(I159+K159+M159+N159+O159+P159+Q159+R159+S159)</f>
        <v>30</v>
      </c>
      <c r="U159" s="223">
        <v>8</v>
      </c>
    </row>
    <row r="160" spans="1:21">
      <c r="A160" s="218" t="s">
        <v>36</v>
      </c>
      <c r="B160" s="217" t="s">
        <v>183</v>
      </c>
      <c r="C160" s="217" t="s">
        <v>185</v>
      </c>
      <c r="D160" s="71" t="s">
        <v>29</v>
      </c>
      <c r="E160" s="209">
        <v>9</v>
      </c>
      <c r="F160" s="134">
        <v>1</v>
      </c>
      <c r="G160" s="135">
        <v>1</v>
      </c>
      <c r="H160" s="136">
        <v>10</v>
      </c>
      <c r="I160" s="144">
        <v>10</v>
      </c>
      <c r="J160" s="136">
        <v>2</v>
      </c>
      <c r="K160" s="144">
        <v>2</v>
      </c>
      <c r="L160" s="136">
        <v>3</v>
      </c>
      <c r="M160" s="144">
        <v>3</v>
      </c>
      <c r="N160" s="136"/>
      <c r="O160" s="142"/>
      <c r="P160" s="142"/>
      <c r="Q160" s="142"/>
      <c r="R160" s="142"/>
      <c r="S160" s="144"/>
      <c r="T160" s="136">
        <f t="shared" si="13"/>
        <v>15</v>
      </c>
      <c r="U160" s="144">
        <v>4</v>
      </c>
    </row>
    <row r="161" spans="1:21" ht="51">
      <c r="A161" s="218" t="s">
        <v>36</v>
      </c>
      <c r="B161" s="217" t="s">
        <v>183</v>
      </c>
      <c r="C161" s="71" t="s">
        <v>264</v>
      </c>
      <c r="D161" s="71" t="s">
        <v>29</v>
      </c>
      <c r="E161" s="209">
        <v>9</v>
      </c>
      <c r="F161" s="222">
        <v>1</v>
      </c>
      <c r="G161" s="223">
        <v>1</v>
      </c>
      <c r="H161" s="222">
        <v>10</v>
      </c>
      <c r="I161" s="223">
        <v>10</v>
      </c>
      <c r="J161" s="222">
        <v>10</v>
      </c>
      <c r="K161" s="223">
        <v>10</v>
      </c>
      <c r="L161" s="222"/>
      <c r="M161" s="223"/>
      <c r="N161" s="222"/>
      <c r="O161" s="140"/>
      <c r="P161" s="140"/>
      <c r="Q161" s="140"/>
      <c r="R161" s="140"/>
      <c r="S161" s="223"/>
      <c r="T161" s="136">
        <f t="shared" si="13"/>
        <v>20</v>
      </c>
      <c r="U161" s="223">
        <v>5</v>
      </c>
    </row>
    <row r="162" spans="1:21">
      <c r="A162" s="218" t="s">
        <v>36</v>
      </c>
      <c r="B162" s="215" t="s">
        <v>184</v>
      </c>
      <c r="C162" s="258" t="s">
        <v>164</v>
      </c>
      <c r="D162" s="71" t="s">
        <v>29</v>
      </c>
      <c r="E162" s="209">
        <v>10</v>
      </c>
      <c r="F162" s="222">
        <v>1</v>
      </c>
      <c r="G162" s="223">
        <v>1</v>
      </c>
      <c r="H162" s="222">
        <v>10</v>
      </c>
      <c r="I162" s="223">
        <v>10</v>
      </c>
      <c r="J162" s="222">
        <v>5</v>
      </c>
      <c r="K162" s="223">
        <v>5</v>
      </c>
      <c r="L162" s="222"/>
      <c r="M162" s="223"/>
      <c r="N162" s="222"/>
      <c r="O162" s="140"/>
      <c r="P162" s="140"/>
      <c r="Q162" s="140"/>
      <c r="R162" s="140"/>
      <c r="S162" s="223"/>
      <c r="T162" s="136">
        <f t="shared" si="13"/>
        <v>15</v>
      </c>
      <c r="U162" s="223">
        <v>4</v>
      </c>
    </row>
    <row r="163" spans="1:21">
      <c r="A163" s="218" t="s">
        <v>36</v>
      </c>
      <c r="B163" s="215" t="s">
        <v>184</v>
      </c>
      <c r="C163" s="258" t="s">
        <v>259</v>
      </c>
      <c r="D163" s="71" t="s">
        <v>29</v>
      </c>
      <c r="E163" s="209">
        <v>10</v>
      </c>
      <c r="F163" s="222">
        <v>1</v>
      </c>
      <c r="G163" s="223">
        <v>1</v>
      </c>
      <c r="H163" s="222">
        <v>10</v>
      </c>
      <c r="I163" s="223">
        <v>10</v>
      </c>
      <c r="J163" s="222">
        <v>5</v>
      </c>
      <c r="K163" s="223">
        <v>5</v>
      </c>
      <c r="L163" s="222"/>
      <c r="M163" s="223"/>
      <c r="N163" s="222"/>
      <c r="O163" s="140"/>
      <c r="P163" s="140"/>
      <c r="Q163" s="140"/>
      <c r="R163" s="140"/>
      <c r="S163" s="223"/>
      <c r="T163" s="136">
        <f t="shared" si="13"/>
        <v>15</v>
      </c>
      <c r="U163" s="223">
        <v>4</v>
      </c>
    </row>
    <row r="164" spans="1:21">
      <c r="A164" s="218" t="s">
        <v>36</v>
      </c>
      <c r="B164" s="215" t="s">
        <v>184</v>
      </c>
      <c r="C164" s="71" t="s">
        <v>29</v>
      </c>
      <c r="D164" s="71" t="s">
        <v>29</v>
      </c>
      <c r="E164" s="209">
        <v>10</v>
      </c>
      <c r="F164" s="222">
        <v>1</v>
      </c>
      <c r="G164" s="223">
        <v>1</v>
      </c>
      <c r="H164" s="222">
        <v>20</v>
      </c>
      <c r="I164" s="223">
        <v>20</v>
      </c>
      <c r="J164" s="222">
        <v>10</v>
      </c>
      <c r="K164" s="223">
        <v>10</v>
      </c>
      <c r="L164" s="222"/>
      <c r="M164" s="223"/>
      <c r="N164" s="222"/>
      <c r="O164" s="140"/>
      <c r="P164" s="140"/>
      <c r="Q164" s="140"/>
      <c r="R164" s="140"/>
      <c r="S164" s="223"/>
      <c r="T164" s="136">
        <f t="shared" si="13"/>
        <v>30</v>
      </c>
      <c r="U164" s="223">
        <v>8</v>
      </c>
    </row>
    <row r="165" spans="1:21">
      <c r="A165" s="218" t="s">
        <v>36</v>
      </c>
      <c r="B165" s="215" t="s">
        <v>184</v>
      </c>
      <c r="C165" s="137" t="s">
        <v>189</v>
      </c>
      <c r="D165" s="71" t="s">
        <v>29</v>
      </c>
      <c r="E165" s="209">
        <v>10</v>
      </c>
      <c r="F165" s="222">
        <v>1</v>
      </c>
      <c r="G165" s="223">
        <v>1</v>
      </c>
      <c r="H165" s="222">
        <v>20</v>
      </c>
      <c r="I165" s="223">
        <v>20</v>
      </c>
      <c r="J165" s="222">
        <v>10</v>
      </c>
      <c r="K165" s="223">
        <v>10</v>
      </c>
      <c r="L165" s="222"/>
      <c r="M165" s="223"/>
      <c r="N165" s="222"/>
      <c r="O165" s="140"/>
      <c r="P165" s="140"/>
      <c r="Q165" s="140"/>
      <c r="R165" s="140"/>
      <c r="S165" s="223"/>
      <c r="T165" s="136">
        <f t="shared" ref="T165:T172" si="14">(I165+K165+M165+N165+O165+P165+Q165+R165+S165)</f>
        <v>30</v>
      </c>
      <c r="U165" s="223">
        <v>8</v>
      </c>
    </row>
    <row r="166" spans="1:21">
      <c r="A166" s="218" t="s">
        <v>36</v>
      </c>
      <c r="B166" s="227" t="s">
        <v>187</v>
      </c>
      <c r="C166" s="217" t="s">
        <v>260</v>
      </c>
      <c r="D166" s="250" t="s">
        <v>29</v>
      </c>
      <c r="E166" s="209">
        <v>7</v>
      </c>
      <c r="F166" s="134">
        <v>1</v>
      </c>
      <c r="G166" s="135">
        <v>1</v>
      </c>
      <c r="H166" s="136">
        <v>10</v>
      </c>
      <c r="I166" s="144">
        <v>10</v>
      </c>
      <c r="J166" s="136">
        <v>5</v>
      </c>
      <c r="K166" s="144">
        <v>5</v>
      </c>
      <c r="L166" s="136"/>
      <c r="M166" s="144"/>
      <c r="N166" s="136"/>
      <c r="O166" s="142"/>
      <c r="P166" s="142"/>
      <c r="Q166" s="142"/>
      <c r="R166" s="142"/>
      <c r="S166" s="144"/>
      <c r="T166" s="136">
        <f t="shared" si="14"/>
        <v>15</v>
      </c>
      <c r="U166" s="144">
        <v>4</v>
      </c>
    </row>
    <row r="167" spans="1:21" ht="63.75">
      <c r="A167" s="218" t="s">
        <v>36</v>
      </c>
      <c r="B167" s="227" t="s">
        <v>187</v>
      </c>
      <c r="C167" s="217" t="s">
        <v>265</v>
      </c>
      <c r="D167" s="250" t="s">
        <v>29</v>
      </c>
      <c r="E167" s="209">
        <v>7</v>
      </c>
      <c r="F167" s="134">
        <v>1</v>
      </c>
      <c r="G167" s="135">
        <v>1</v>
      </c>
      <c r="H167" s="136">
        <v>10</v>
      </c>
      <c r="I167" s="144">
        <v>10</v>
      </c>
      <c r="J167" s="136">
        <v>10</v>
      </c>
      <c r="K167" s="144">
        <v>10</v>
      </c>
      <c r="L167" s="136"/>
      <c r="M167" s="144"/>
      <c r="N167" s="136"/>
      <c r="O167" s="142"/>
      <c r="P167" s="142"/>
      <c r="Q167" s="142"/>
      <c r="R167" s="142"/>
      <c r="S167" s="144"/>
      <c r="T167" s="136">
        <f t="shared" si="14"/>
        <v>20</v>
      </c>
      <c r="U167" s="144">
        <v>5</v>
      </c>
    </row>
    <row r="168" spans="1:21" ht="51">
      <c r="A168" s="218" t="s">
        <v>36</v>
      </c>
      <c r="B168" s="227" t="s">
        <v>187</v>
      </c>
      <c r="C168" s="217" t="s">
        <v>266</v>
      </c>
      <c r="D168" s="250" t="s">
        <v>29</v>
      </c>
      <c r="E168" s="209">
        <v>7</v>
      </c>
      <c r="F168" s="134">
        <v>1</v>
      </c>
      <c r="G168" s="135">
        <v>1</v>
      </c>
      <c r="H168" s="136">
        <v>10</v>
      </c>
      <c r="I168" s="144">
        <v>10</v>
      </c>
      <c r="J168" s="136">
        <v>10</v>
      </c>
      <c r="K168" s="144">
        <v>10</v>
      </c>
      <c r="L168" s="136"/>
      <c r="M168" s="144"/>
      <c r="N168" s="136"/>
      <c r="O168" s="142"/>
      <c r="P168" s="142"/>
      <c r="Q168" s="142"/>
      <c r="R168" s="142"/>
      <c r="S168" s="144"/>
      <c r="T168" s="136">
        <f t="shared" si="14"/>
        <v>20</v>
      </c>
      <c r="U168" s="144">
        <v>5</v>
      </c>
    </row>
    <row r="169" spans="1:21" ht="76.5">
      <c r="A169" s="218" t="s">
        <v>36</v>
      </c>
      <c r="B169" s="227" t="s">
        <v>187</v>
      </c>
      <c r="C169" s="217" t="s">
        <v>267</v>
      </c>
      <c r="D169" s="250" t="s">
        <v>29</v>
      </c>
      <c r="E169" s="209">
        <v>7</v>
      </c>
      <c r="F169" s="134">
        <v>1</v>
      </c>
      <c r="G169" s="135">
        <v>1</v>
      </c>
      <c r="H169" s="136">
        <v>10</v>
      </c>
      <c r="I169" s="144">
        <v>10</v>
      </c>
      <c r="J169" s="136">
        <v>10</v>
      </c>
      <c r="K169" s="144">
        <v>10</v>
      </c>
      <c r="L169" s="136"/>
      <c r="M169" s="144"/>
      <c r="N169" s="136"/>
      <c r="O169" s="142"/>
      <c r="P169" s="142"/>
      <c r="Q169" s="142"/>
      <c r="R169" s="142"/>
      <c r="S169" s="144"/>
      <c r="T169" s="136">
        <f t="shared" si="14"/>
        <v>20</v>
      </c>
      <c r="U169" s="144">
        <v>5</v>
      </c>
    </row>
    <row r="170" spans="1:21" ht="76.5">
      <c r="A170" s="218" t="s">
        <v>36</v>
      </c>
      <c r="B170" s="227" t="s">
        <v>187</v>
      </c>
      <c r="C170" s="210" t="s">
        <v>192</v>
      </c>
      <c r="D170" s="250" t="s">
        <v>29</v>
      </c>
      <c r="E170" s="209">
        <v>7</v>
      </c>
      <c r="F170" s="211">
        <v>1</v>
      </c>
      <c r="G170" s="63">
        <v>1</v>
      </c>
      <c r="H170" s="212">
        <v>10</v>
      </c>
      <c r="I170" s="213">
        <v>10</v>
      </c>
      <c r="J170" s="212">
        <v>10</v>
      </c>
      <c r="K170" s="213">
        <v>10</v>
      </c>
      <c r="L170" s="212"/>
      <c r="M170" s="213"/>
      <c r="N170" s="212"/>
      <c r="O170" s="214"/>
      <c r="P170" s="214"/>
      <c r="Q170" s="214"/>
      <c r="R170" s="214"/>
      <c r="S170" s="213"/>
      <c r="T170" s="212">
        <f t="shared" si="14"/>
        <v>20</v>
      </c>
      <c r="U170" s="213">
        <v>5</v>
      </c>
    </row>
    <row r="171" spans="1:21" ht="38.25">
      <c r="A171" s="218" t="s">
        <v>36</v>
      </c>
      <c r="B171" s="71" t="s">
        <v>268</v>
      </c>
      <c r="C171" s="139" t="s">
        <v>103</v>
      </c>
      <c r="D171" s="60" t="s">
        <v>38</v>
      </c>
      <c r="E171" s="239" t="s">
        <v>269</v>
      </c>
      <c r="F171" s="222">
        <v>1</v>
      </c>
      <c r="G171" s="223">
        <v>3</v>
      </c>
      <c r="H171" s="222">
        <v>15</v>
      </c>
      <c r="I171" s="223">
        <v>15</v>
      </c>
      <c r="J171" s="222">
        <v>15</v>
      </c>
      <c r="K171" s="223">
        <v>45</v>
      </c>
      <c r="L171" s="222"/>
      <c r="M171" s="223"/>
      <c r="N171" s="222"/>
      <c r="O171" s="140"/>
      <c r="P171" s="140"/>
      <c r="Q171" s="140"/>
      <c r="R171" s="140"/>
      <c r="S171" s="223"/>
      <c r="T171" s="136">
        <f t="shared" si="14"/>
        <v>60</v>
      </c>
      <c r="U171" s="223">
        <v>3</v>
      </c>
    </row>
    <row r="172" spans="1:21">
      <c r="A172" s="125" t="s">
        <v>36</v>
      </c>
      <c r="B172" s="126" t="s">
        <v>88</v>
      </c>
      <c r="C172" s="127" t="s">
        <v>139</v>
      </c>
      <c r="D172" s="128" t="s">
        <v>32</v>
      </c>
      <c r="E172" s="129">
        <v>46</v>
      </c>
      <c r="F172" s="130">
        <v>1</v>
      </c>
      <c r="G172" s="131">
        <v>2</v>
      </c>
      <c r="H172" s="130">
        <v>30</v>
      </c>
      <c r="I172" s="131">
        <v>30</v>
      </c>
      <c r="J172" s="130">
        <v>15</v>
      </c>
      <c r="K172" s="131">
        <v>30</v>
      </c>
      <c r="L172" s="130"/>
      <c r="M172" s="131"/>
      <c r="N172" s="130"/>
      <c r="O172" s="132"/>
      <c r="P172" s="132"/>
      <c r="Q172" s="132"/>
      <c r="R172" s="132"/>
      <c r="S172" s="131"/>
      <c r="T172" s="133">
        <f t="shared" si="14"/>
        <v>60</v>
      </c>
      <c r="U172" s="131">
        <v>4</v>
      </c>
    </row>
    <row r="173" spans="1:21">
      <c r="A173" s="50" t="s">
        <v>36</v>
      </c>
      <c r="B173" s="51" t="s">
        <v>88</v>
      </c>
      <c r="C173" s="52" t="s">
        <v>103</v>
      </c>
      <c r="D173" s="51" t="s">
        <v>32</v>
      </c>
      <c r="E173" s="50">
        <v>46</v>
      </c>
      <c r="F173" s="53">
        <v>1</v>
      </c>
      <c r="G173" s="53">
        <v>2</v>
      </c>
      <c r="H173" s="53">
        <v>15</v>
      </c>
      <c r="I173" s="53">
        <v>15</v>
      </c>
      <c r="J173" s="53">
        <v>15</v>
      </c>
      <c r="K173" s="53">
        <v>30</v>
      </c>
      <c r="L173" s="53"/>
      <c r="M173" s="53"/>
      <c r="N173" s="53"/>
      <c r="O173" s="53"/>
      <c r="P173" s="53"/>
      <c r="Q173" s="53"/>
      <c r="R173" s="53"/>
      <c r="S173" s="53"/>
      <c r="T173" s="53">
        <f>(I173+K173+M173+N173+O173+P173+Q173+R173+S173)</f>
        <v>45</v>
      </c>
      <c r="U173" s="53">
        <v>3</v>
      </c>
    </row>
    <row r="174" spans="1:21" ht="25.5">
      <c r="A174" s="50" t="s">
        <v>36</v>
      </c>
      <c r="B174" s="51" t="s">
        <v>90</v>
      </c>
      <c r="C174" s="52" t="s">
        <v>270</v>
      </c>
      <c r="D174" s="51" t="s">
        <v>180</v>
      </c>
      <c r="E174" s="50">
        <v>20</v>
      </c>
      <c r="F174" s="53">
        <v>1</v>
      </c>
      <c r="G174" s="53">
        <v>1</v>
      </c>
      <c r="H174" s="53">
        <v>45</v>
      </c>
      <c r="I174" s="53">
        <v>45</v>
      </c>
      <c r="J174" s="53"/>
      <c r="K174" s="53"/>
      <c r="L174" s="53">
        <v>30</v>
      </c>
      <c r="M174" s="53">
        <v>30</v>
      </c>
      <c r="N174" s="53"/>
      <c r="O174" s="53"/>
      <c r="P174" s="53"/>
      <c r="Q174" s="53"/>
      <c r="R174" s="53"/>
      <c r="S174" s="53"/>
      <c r="T174" s="53">
        <f>(I174+K174+M174+N174+O174+P174+Q174+R174+S174)</f>
        <v>75</v>
      </c>
      <c r="U174" s="53">
        <v>7</v>
      </c>
    </row>
    <row r="175" spans="1:21" ht="25.5">
      <c r="A175" s="50" t="s">
        <v>36</v>
      </c>
      <c r="B175" s="51" t="s">
        <v>90</v>
      </c>
      <c r="C175" s="52" t="s">
        <v>271</v>
      </c>
      <c r="D175" s="51" t="s">
        <v>180</v>
      </c>
      <c r="E175" s="50">
        <v>20</v>
      </c>
      <c r="F175" s="53">
        <v>1</v>
      </c>
      <c r="G175" s="53">
        <v>1</v>
      </c>
      <c r="H175" s="53">
        <v>45</v>
      </c>
      <c r="I175" s="53">
        <v>45</v>
      </c>
      <c r="J175" s="53">
        <v>15</v>
      </c>
      <c r="K175" s="53">
        <v>15</v>
      </c>
      <c r="L175" s="53"/>
      <c r="M175" s="53"/>
      <c r="N175" s="53"/>
      <c r="O175" s="53"/>
      <c r="P175" s="53"/>
      <c r="Q175" s="53"/>
      <c r="R175" s="53"/>
      <c r="S175" s="53"/>
      <c r="T175" s="53">
        <f>(I175+K175+M175+N175+O175+P175+Q175+R175+S175)</f>
        <v>60</v>
      </c>
      <c r="U175" s="53">
        <v>5</v>
      </c>
    </row>
    <row r="176" spans="1:21" ht="38.25">
      <c r="A176" s="50" t="s">
        <v>36</v>
      </c>
      <c r="B176" s="51" t="s">
        <v>225</v>
      </c>
      <c r="C176" s="52" t="s">
        <v>272</v>
      </c>
      <c r="D176" s="51" t="s">
        <v>227</v>
      </c>
      <c r="E176" s="50">
        <v>10</v>
      </c>
      <c r="F176" s="53">
        <v>1</v>
      </c>
      <c r="G176" s="53">
        <v>1</v>
      </c>
      <c r="H176" s="53">
        <v>30</v>
      </c>
      <c r="I176" s="53">
        <v>30</v>
      </c>
      <c r="J176" s="53">
        <v>15</v>
      </c>
      <c r="K176" s="53">
        <v>15</v>
      </c>
      <c r="L176" s="53"/>
      <c r="M176" s="53"/>
      <c r="N176" s="53"/>
      <c r="O176" s="53"/>
      <c r="P176" s="53"/>
      <c r="Q176" s="53"/>
      <c r="R176" s="53"/>
      <c r="S176" s="53"/>
      <c r="T176" s="53">
        <f t="shared" ref="T176:T181" si="15">(I176+K176+M176+N176+O176+P176+Q176+R176+S176)</f>
        <v>45</v>
      </c>
      <c r="U176" s="53">
        <v>6</v>
      </c>
    </row>
    <row r="177" spans="1:21" ht="51">
      <c r="A177" s="50" t="s">
        <v>36</v>
      </c>
      <c r="B177" s="51" t="s">
        <v>225</v>
      </c>
      <c r="C177" s="52" t="s">
        <v>273</v>
      </c>
      <c r="D177" s="51" t="s">
        <v>227</v>
      </c>
      <c r="E177" s="50">
        <v>10</v>
      </c>
      <c r="F177" s="53">
        <v>1</v>
      </c>
      <c r="G177" s="53">
        <v>1</v>
      </c>
      <c r="H177" s="53">
        <v>30</v>
      </c>
      <c r="I177" s="53">
        <v>30</v>
      </c>
      <c r="J177" s="53">
        <v>15</v>
      </c>
      <c r="K177" s="53">
        <v>15</v>
      </c>
      <c r="L177" s="53"/>
      <c r="M177" s="53"/>
      <c r="N177" s="53"/>
      <c r="O177" s="53"/>
      <c r="P177" s="53"/>
      <c r="Q177" s="53"/>
      <c r="R177" s="53"/>
      <c r="S177" s="53"/>
      <c r="T177" s="53">
        <f t="shared" si="15"/>
        <v>45</v>
      </c>
      <c r="U177" s="53">
        <v>6</v>
      </c>
    </row>
    <row r="178" spans="1:21" ht="38.25">
      <c r="A178" s="50" t="s">
        <v>36</v>
      </c>
      <c r="B178" s="51" t="s">
        <v>225</v>
      </c>
      <c r="C178" s="52" t="s">
        <v>274</v>
      </c>
      <c r="D178" s="51" t="s">
        <v>227</v>
      </c>
      <c r="E178" s="50">
        <v>10</v>
      </c>
      <c r="F178" s="53">
        <v>1</v>
      </c>
      <c r="G178" s="53">
        <v>1</v>
      </c>
      <c r="H178" s="53">
        <v>30</v>
      </c>
      <c r="I178" s="53">
        <v>30</v>
      </c>
      <c r="J178" s="53">
        <v>15</v>
      </c>
      <c r="K178" s="53">
        <v>15</v>
      </c>
      <c r="L178" s="53"/>
      <c r="M178" s="53"/>
      <c r="N178" s="53"/>
      <c r="O178" s="53"/>
      <c r="P178" s="53"/>
      <c r="Q178" s="53"/>
      <c r="R178" s="53"/>
      <c r="S178" s="53"/>
      <c r="T178" s="53">
        <f t="shared" si="15"/>
        <v>45</v>
      </c>
      <c r="U178" s="53">
        <v>6</v>
      </c>
    </row>
    <row r="179" spans="1:21" ht="25.5">
      <c r="A179" s="50" t="s">
        <v>36</v>
      </c>
      <c r="B179" s="51" t="s">
        <v>275</v>
      </c>
      <c r="C179" s="52" t="s">
        <v>276</v>
      </c>
      <c r="D179" s="51" t="s">
        <v>218</v>
      </c>
      <c r="E179" s="50">
        <v>8</v>
      </c>
      <c r="F179" s="53">
        <v>1</v>
      </c>
      <c r="G179" s="53">
        <v>1</v>
      </c>
      <c r="H179" s="53">
        <v>30</v>
      </c>
      <c r="I179" s="53">
        <v>30</v>
      </c>
      <c r="J179" s="53">
        <v>15</v>
      </c>
      <c r="K179" s="53">
        <v>15</v>
      </c>
      <c r="L179" s="53"/>
      <c r="M179" s="53"/>
      <c r="N179" s="53"/>
      <c r="O179" s="53"/>
      <c r="P179" s="53"/>
      <c r="Q179" s="53"/>
      <c r="R179" s="53"/>
      <c r="S179" s="53"/>
      <c r="T179" s="53">
        <f t="shared" si="15"/>
        <v>45</v>
      </c>
      <c r="U179" s="53">
        <v>6</v>
      </c>
    </row>
    <row r="180" spans="1:21" ht="25.5">
      <c r="A180" s="50" t="s">
        <v>36</v>
      </c>
      <c r="B180" s="51" t="s">
        <v>275</v>
      </c>
      <c r="C180" s="52" t="s">
        <v>277</v>
      </c>
      <c r="D180" s="51" t="s">
        <v>218</v>
      </c>
      <c r="E180" s="50">
        <v>8</v>
      </c>
      <c r="F180" s="53">
        <v>1</v>
      </c>
      <c r="G180" s="53">
        <v>1</v>
      </c>
      <c r="H180" s="53">
        <v>30</v>
      </c>
      <c r="I180" s="53">
        <v>30</v>
      </c>
      <c r="J180" s="53">
        <v>15</v>
      </c>
      <c r="K180" s="53">
        <v>15</v>
      </c>
      <c r="L180" s="53"/>
      <c r="M180" s="53"/>
      <c r="N180" s="53"/>
      <c r="O180" s="53"/>
      <c r="P180" s="53"/>
      <c r="Q180" s="53"/>
      <c r="R180" s="53"/>
      <c r="S180" s="53"/>
      <c r="T180" s="53">
        <f t="shared" si="15"/>
        <v>45</v>
      </c>
      <c r="U180" s="53">
        <v>6</v>
      </c>
    </row>
    <row r="181" spans="1:21" ht="51">
      <c r="A181" s="50" t="s">
        <v>36</v>
      </c>
      <c r="B181" s="51" t="s">
        <v>275</v>
      </c>
      <c r="C181" s="52" t="s">
        <v>278</v>
      </c>
      <c r="D181" s="51" t="s">
        <v>218</v>
      </c>
      <c r="E181" s="50">
        <v>8</v>
      </c>
      <c r="F181" s="53">
        <v>1</v>
      </c>
      <c r="G181" s="53">
        <v>1</v>
      </c>
      <c r="H181" s="53">
        <v>30</v>
      </c>
      <c r="I181" s="53">
        <v>30</v>
      </c>
      <c r="J181" s="53">
        <v>15</v>
      </c>
      <c r="K181" s="53">
        <v>15</v>
      </c>
      <c r="L181" s="53"/>
      <c r="M181" s="53"/>
      <c r="N181" s="53"/>
      <c r="O181" s="53"/>
      <c r="P181" s="53"/>
      <c r="Q181" s="53"/>
      <c r="R181" s="53"/>
      <c r="S181" s="53"/>
      <c r="T181" s="53">
        <f t="shared" si="15"/>
        <v>45</v>
      </c>
      <c r="U181" s="53">
        <v>6</v>
      </c>
    </row>
    <row r="182" spans="1:21" ht="49.5" customHeight="1">
      <c r="A182" s="259" t="s">
        <v>36</v>
      </c>
      <c r="B182" s="219" t="s">
        <v>801</v>
      </c>
      <c r="C182" s="227" t="s">
        <v>39</v>
      </c>
      <c r="D182" s="60" t="s">
        <v>81</v>
      </c>
      <c r="E182" s="209" t="s">
        <v>802</v>
      </c>
      <c r="F182" s="136"/>
      <c r="G182" s="144"/>
      <c r="H182" s="136"/>
      <c r="I182" s="144"/>
      <c r="J182" s="136"/>
      <c r="K182" s="144"/>
      <c r="L182" s="136"/>
      <c r="M182" s="144"/>
      <c r="N182" s="136"/>
      <c r="O182" s="142"/>
      <c r="P182" s="142"/>
      <c r="Q182" s="142"/>
      <c r="R182" s="142"/>
      <c r="S182" s="144">
        <v>30</v>
      </c>
      <c r="T182" s="136">
        <f t="shared" ref="T182:T192" si="16">(I182+K182+M182+N182+O182+P182+Q182+R182+S182)</f>
        <v>30</v>
      </c>
      <c r="U182" s="144">
        <v>21</v>
      </c>
    </row>
    <row r="183" spans="1:21">
      <c r="A183" s="260" t="s">
        <v>36</v>
      </c>
      <c r="B183" s="240" t="s">
        <v>805</v>
      </c>
      <c r="C183" s="227" t="s">
        <v>40</v>
      </c>
      <c r="D183" s="60" t="s">
        <v>81</v>
      </c>
      <c r="E183" s="209">
        <v>18</v>
      </c>
      <c r="F183" s="222"/>
      <c r="G183" s="223"/>
      <c r="H183" s="222"/>
      <c r="I183" s="223"/>
      <c r="J183" s="222"/>
      <c r="K183" s="223"/>
      <c r="L183" s="222"/>
      <c r="M183" s="223"/>
      <c r="N183" s="222"/>
      <c r="O183" s="140"/>
      <c r="P183" s="140"/>
      <c r="Q183" s="140"/>
      <c r="R183" s="140"/>
      <c r="S183" s="223">
        <v>360</v>
      </c>
      <c r="T183" s="136">
        <f t="shared" si="16"/>
        <v>360</v>
      </c>
      <c r="U183" s="223">
        <v>9</v>
      </c>
    </row>
    <row r="184" spans="1:21">
      <c r="A184" s="260" t="s">
        <v>36</v>
      </c>
      <c r="B184" s="240" t="s">
        <v>172</v>
      </c>
      <c r="C184" s="227" t="s">
        <v>40</v>
      </c>
      <c r="D184" s="60" t="s">
        <v>81</v>
      </c>
      <c r="E184" s="209">
        <v>15</v>
      </c>
      <c r="F184" s="222"/>
      <c r="G184" s="223"/>
      <c r="H184" s="222"/>
      <c r="I184" s="223"/>
      <c r="J184" s="222"/>
      <c r="K184" s="223"/>
      <c r="L184" s="222"/>
      <c r="M184" s="223"/>
      <c r="N184" s="222"/>
      <c r="O184" s="140"/>
      <c r="P184" s="140"/>
      <c r="Q184" s="140"/>
      <c r="R184" s="140"/>
      <c r="S184" s="223">
        <v>300</v>
      </c>
      <c r="T184" s="136">
        <f t="shared" si="16"/>
        <v>300</v>
      </c>
      <c r="U184" s="223">
        <v>9</v>
      </c>
    </row>
    <row r="185" spans="1:21" ht="25.5">
      <c r="A185" s="260" t="s">
        <v>36</v>
      </c>
      <c r="B185" s="217" t="s">
        <v>803</v>
      </c>
      <c r="C185" s="227" t="s">
        <v>39</v>
      </c>
      <c r="D185" s="60" t="s">
        <v>29</v>
      </c>
      <c r="E185" s="209" t="s">
        <v>804</v>
      </c>
      <c r="F185" s="222"/>
      <c r="G185" s="223"/>
      <c r="H185" s="222"/>
      <c r="I185" s="223"/>
      <c r="J185" s="222"/>
      <c r="K185" s="223"/>
      <c r="L185" s="222"/>
      <c r="M185" s="223"/>
      <c r="N185" s="222"/>
      <c r="O185" s="140"/>
      <c r="P185" s="140"/>
      <c r="Q185" s="140"/>
      <c r="R185" s="140"/>
      <c r="S185" s="223">
        <v>30</v>
      </c>
      <c r="T185" s="136">
        <f t="shared" si="16"/>
        <v>30</v>
      </c>
      <c r="U185" s="223">
        <v>21</v>
      </c>
    </row>
    <row r="186" spans="1:21">
      <c r="A186" s="260" t="s">
        <v>36</v>
      </c>
      <c r="B186" s="217" t="s">
        <v>28</v>
      </c>
      <c r="C186" s="227" t="s">
        <v>279</v>
      </c>
      <c r="D186" s="60" t="s">
        <v>29</v>
      </c>
      <c r="E186" s="209">
        <v>20</v>
      </c>
      <c r="F186" s="222"/>
      <c r="G186" s="223"/>
      <c r="H186" s="222"/>
      <c r="I186" s="223"/>
      <c r="J186" s="222"/>
      <c r="K186" s="223"/>
      <c r="L186" s="222"/>
      <c r="M186" s="223"/>
      <c r="N186" s="222"/>
      <c r="O186" s="140"/>
      <c r="P186" s="140"/>
      <c r="Q186" s="140"/>
      <c r="R186" s="140"/>
      <c r="S186" s="223">
        <v>400</v>
      </c>
      <c r="T186" s="136">
        <f t="shared" si="16"/>
        <v>400</v>
      </c>
      <c r="U186" s="223">
        <v>9</v>
      </c>
    </row>
    <row r="187" spans="1:21">
      <c r="A187" s="260" t="s">
        <v>36</v>
      </c>
      <c r="B187" s="217" t="s">
        <v>30</v>
      </c>
      <c r="C187" s="227" t="s">
        <v>279</v>
      </c>
      <c r="D187" s="60" t="s">
        <v>29</v>
      </c>
      <c r="E187" s="209">
        <v>18</v>
      </c>
      <c r="F187" s="222"/>
      <c r="G187" s="223"/>
      <c r="H187" s="222"/>
      <c r="I187" s="223"/>
      <c r="J187" s="222"/>
      <c r="K187" s="223"/>
      <c r="L187" s="222"/>
      <c r="M187" s="223"/>
      <c r="N187" s="222"/>
      <c r="O187" s="140"/>
      <c r="P187" s="140"/>
      <c r="Q187" s="140"/>
      <c r="R187" s="140"/>
      <c r="S187" s="223">
        <v>360</v>
      </c>
      <c r="T187" s="136">
        <f t="shared" si="16"/>
        <v>360</v>
      </c>
      <c r="U187" s="223">
        <v>9</v>
      </c>
    </row>
    <row r="188" spans="1:21">
      <c r="A188" s="260" t="s">
        <v>36</v>
      </c>
      <c r="B188" s="217" t="s">
        <v>190</v>
      </c>
      <c r="C188" s="227" t="s">
        <v>39</v>
      </c>
      <c r="D188" s="250" t="s">
        <v>29</v>
      </c>
      <c r="E188" s="261">
        <v>11</v>
      </c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>
        <v>30</v>
      </c>
      <c r="T188" s="140">
        <f t="shared" si="16"/>
        <v>30</v>
      </c>
      <c r="U188" s="140">
        <v>21</v>
      </c>
    </row>
    <row r="189" spans="1:21">
      <c r="A189" s="260" t="s">
        <v>36</v>
      </c>
      <c r="B189" s="217" t="s">
        <v>190</v>
      </c>
      <c r="C189" s="227" t="s">
        <v>279</v>
      </c>
      <c r="D189" s="250" t="s">
        <v>29</v>
      </c>
      <c r="E189" s="261">
        <v>11</v>
      </c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>
        <v>220</v>
      </c>
      <c r="T189" s="140">
        <f t="shared" si="16"/>
        <v>220</v>
      </c>
      <c r="U189" s="140">
        <v>9</v>
      </c>
    </row>
    <row r="190" spans="1:21" ht="25.5">
      <c r="A190" s="260" t="s">
        <v>36</v>
      </c>
      <c r="B190" s="217" t="s">
        <v>800</v>
      </c>
      <c r="C190" s="71" t="s">
        <v>51</v>
      </c>
      <c r="D190" s="60" t="s">
        <v>218</v>
      </c>
      <c r="E190" s="261">
        <v>2</v>
      </c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>
        <f t="shared" si="16"/>
        <v>0</v>
      </c>
      <c r="U190" s="140">
        <v>6</v>
      </c>
    </row>
    <row r="191" spans="1:21" ht="25.5">
      <c r="A191" s="260" t="s">
        <v>36</v>
      </c>
      <c r="B191" s="217" t="s">
        <v>800</v>
      </c>
      <c r="C191" s="71" t="s">
        <v>52</v>
      </c>
      <c r="D191" s="60" t="s">
        <v>218</v>
      </c>
      <c r="E191" s="261">
        <v>2</v>
      </c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>
        <f t="shared" si="16"/>
        <v>0</v>
      </c>
      <c r="U191" s="140">
        <v>6</v>
      </c>
    </row>
    <row r="192" spans="1:21" ht="25.5">
      <c r="A192" s="260" t="s">
        <v>36</v>
      </c>
      <c r="B192" s="217" t="s">
        <v>800</v>
      </c>
      <c r="C192" s="71" t="s">
        <v>799</v>
      </c>
      <c r="D192" s="60" t="s">
        <v>218</v>
      </c>
      <c r="E192" s="261">
        <v>2</v>
      </c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>
        <v>80</v>
      </c>
      <c r="T192" s="140">
        <f t="shared" si="16"/>
        <v>80</v>
      </c>
      <c r="U192" s="140">
        <v>18</v>
      </c>
    </row>
    <row r="194" spans="1:20">
      <c r="T194" s="1">
        <f>SUM(T12:T193)</f>
        <v>10565</v>
      </c>
    </row>
    <row r="196" spans="1:20" ht="15.75">
      <c r="A196" s="396" t="s">
        <v>41</v>
      </c>
      <c r="B196" s="397"/>
      <c r="C196" s="398"/>
      <c r="D196" s="49" t="s">
        <v>21</v>
      </c>
    </row>
    <row r="197" spans="1:20" ht="26.25" customHeight="1">
      <c r="A197" s="58" t="s">
        <v>42</v>
      </c>
      <c r="B197" s="48"/>
      <c r="C197" s="47"/>
      <c r="D197" s="80">
        <f>SUM(T12:T116)</f>
        <v>5610</v>
      </c>
    </row>
    <row r="198" spans="1:20" ht="26.25" customHeight="1">
      <c r="A198" s="402" t="s">
        <v>43</v>
      </c>
      <c r="B198" s="403"/>
      <c r="C198" s="404"/>
      <c r="D198" s="81">
        <f>SUM(T117:T192)</f>
        <v>4955</v>
      </c>
    </row>
    <row r="199" spans="1:20" ht="26.25" customHeight="1">
      <c r="A199" s="405" t="s">
        <v>44</v>
      </c>
      <c r="B199" s="406"/>
      <c r="C199" s="407"/>
      <c r="D199" s="82">
        <f>SUM(D197:D198)</f>
        <v>10565</v>
      </c>
    </row>
  </sheetData>
  <autoFilter ref="A10:U192" xr:uid="{00000000-0009-0000-0000-000009000000}"/>
  <mergeCells count="16">
    <mergeCell ref="A196:C196"/>
    <mergeCell ref="A198:C198"/>
    <mergeCell ref="A199:C199"/>
    <mergeCell ref="A9:A10"/>
    <mergeCell ref="B9:B10"/>
    <mergeCell ref="C9:C10"/>
    <mergeCell ref="D9:D10"/>
    <mergeCell ref="E9:E10"/>
    <mergeCell ref="F9:F10"/>
    <mergeCell ref="G9:G10"/>
    <mergeCell ref="N9:N10"/>
    <mergeCell ref="O9:O10"/>
    <mergeCell ref="P9:P10"/>
    <mergeCell ref="Q9:Q10"/>
    <mergeCell ref="T9:T10"/>
    <mergeCell ref="U9:U10"/>
  </mergeCells>
  <pageMargins left="0.39370078740157499" right="0" top="0.15748031496063" bottom="0.15748031496063" header="0.31496062992126" footer="0.3149606299212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79"/>
  <sheetViews>
    <sheetView topLeftCell="A164" zoomScale="85" zoomScaleNormal="85" workbookViewId="0">
      <selection activeCell="A164" sqref="A164:U172"/>
    </sheetView>
  </sheetViews>
  <sheetFormatPr defaultColWidth="9.140625" defaultRowHeight="12.75"/>
  <cols>
    <col min="1" max="1" width="7.7109375" style="4" customWidth="1"/>
    <col min="2" max="2" width="11.85546875" style="4" customWidth="1"/>
    <col min="3" max="3" width="35.5703125" style="4" customWidth="1"/>
    <col min="4" max="4" width="12.140625" style="61" customWidth="1"/>
    <col min="5" max="15" width="4.7109375" style="1" customWidth="1"/>
    <col min="16" max="19" width="5.7109375" style="1" customWidth="1"/>
    <col min="20" max="20" width="6" style="1" customWidth="1"/>
    <col min="21" max="21" width="4.7109375" style="1" customWidth="1"/>
    <col min="22" max="22" width="21.7109375" style="4" customWidth="1"/>
    <col min="23" max="16384" width="9.140625" style="4"/>
  </cols>
  <sheetData>
    <row r="1" spans="1:21">
      <c r="B1" s="5" t="s">
        <v>0</v>
      </c>
      <c r="C1" s="6"/>
      <c r="D1" s="4"/>
    </row>
    <row r="2" spans="1:21">
      <c r="B2" s="5" t="s">
        <v>1</v>
      </c>
      <c r="C2" s="7"/>
      <c r="D2" s="4"/>
    </row>
    <row r="3" spans="1:21">
      <c r="B3" s="5" t="s">
        <v>2</v>
      </c>
      <c r="C3" s="6"/>
      <c r="D3" s="4"/>
    </row>
    <row r="4" spans="1:21">
      <c r="A4" s="84" t="s">
        <v>3</v>
      </c>
      <c r="B4" s="9"/>
      <c r="C4" s="6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>
      <c r="A5" s="84" t="s">
        <v>4</v>
      </c>
      <c r="B5" s="9"/>
      <c r="C5" s="6"/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84" t="s">
        <v>280</v>
      </c>
      <c r="B6" s="9"/>
      <c r="C6" s="9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>
      <c r="A7" s="84" t="s">
        <v>5</v>
      </c>
      <c r="B7" s="9"/>
      <c r="C7" s="9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9" spans="1:21" ht="24" customHeight="1">
      <c r="A9" s="416" t="s">
        <v>6</v>
      </c>
      <c r="B9" s="382" t="s">
        <v>7</v>
      </c>
      <c r="C9" s="418" t="s">
        <v>8</v>
      </c>
      <c r="D9" s="412" t="s">
        <v>9</v>
      </c>
      <c r="E9" s="414" t="s">
        <v>10</v>
      </c>
      <c r="F9" s="416" t="s">
        <v>11</v>
      </c>
      <c r="G9" s="386" t="s">
        <v>12</v>
      </c>
      <c r="H9" s="10" t="s">
        <v>13</v>
      </c>
      <c r="I9" s="36"/>
      <c r="J9" s="37" t="s">
        <v>14</v>
      </c>
      <c r="K9" s="36"/>
      <c r="L9" s="37" t="s">
        <v>15</v>
      </c>
      <c r="M9" s="38"/>
      <c r="N9" s="416" t="s">
        <v>16</v>
      </c>
      <c r="O9" s="382" t="s">
        <v>17</v>
      </c>
      <c r="P9" s="382" t="s">
        <v>18</v>
      </c>
      <c r="Q9" s="382" t="s">
        <v>19</v>
      </c>
      <c r="R9" s="45" t="s">
        <v>20</v>
      </c>
      <c r="S9" s="36"/>
      <c r="T9" s="384" t="s">
        <v>21</v>
      </c>
      <c r="U9" s="386" t="s">
        <v>22</v>
      </c>
    </row>
    <row r="10" spans="1:21" s="1" customFormat="1" ht="87.75" customHeight="1">
      <c r="A10" s="417"/>
      <c r="B10" s="383"/>
      <c r="C10" s="419"/>
      <c r="D10" s="413"/>
      <c r="E10" s="415"/>
      <c r="F10" s="417"/>
      <c r="G10" s="387"/>
      <c r="H10" s="11" t="s">
        <v>23</v>
      </c>
      <c r="I10" s="13" t="s">
        <v>24</v>
      </c>
      <c r="J10" s="11" t="s">
        <v>23</v>
      </c>
      <c r="K10" s="13" t="s">
        <v>24</v>
      </c>
      <c r="L10" s="11" t="s">
        <v>23</v>
      </c>
      <c r="M10" s="13" t="s">
        <v>24</v>
      </c>
      <c r="N10" s="417"/>
      <c r="O10" s="383"/>
      <c r="P10" s="383"/>
      <c r="Q10" s="383"/>
      <c r="R10" s="12" t="s">
        <v>25</v>
      </c>
      <c r="S10" s="46" t="s">
        <v>26</v>
      </c>
      <c r="T10" s="385"/>
      <c r="U10" s="387"/>
    </row>
    <row r="11" spans="1:21" s="2" customFormat="1">
      <c r="A11" s="14">
        <v>1</v>
      </c>
      <c r="B11" s="15">
        <v>2</v>
      </c>
      <c r="C11" s="15">
        <v>3</v>
      </c>
      <c r="D11" s="16">
        <v>4</v>
      </c>
      <c r="E11" s="17">
        <v>5</v>
      </c>
      <c r="F11" s="14">
        <v>6</v>
      </c>
      <c r="G11" s="16">
        <v>7</v>
      </c>
      <c r="H11" s="18">
        <v>8</v>
      </c>
      <c r="I11" s="39">
        <v>9</v>
      </c>
      <c r="J11" s="18">
        <v>10</v>
      </c>
      <c r="K11" s="39">
        <v>11</v>
      </c>
      <c r="L11" s="18">
        <v>12</v>
      </c>
      <c r="M11" s="39">
        <v>13</v>
      </c>
      <c r="N11" s="14">
        <v>14</v>
      </c>
      <c r="O11" s="15">
        <v>15</v>
      </c>
      <c r="P11" s="40">
        <v>16</v>
      </c>
      <c r="Q11" s="40">
        <v>17</v>
      </c>
      <c r="R11" s="40">
        <v>18</v>
      </c>
      <c r="S11" s="39">
        <v>19</v>
      </c>
      <c r="T11" s="18">
        <v>20</v>
      </c>
      <c r="U11" s="39">
        <v>21</v>
      </c>
    </row>
    <row r="12" spans="1:21" ht="25.5">
      <c r="A12" s="22" t="s">
        <v>27</v>
      </c>
      <c r="B12" s="19" t="s">
        <v>281</v>
      </c>
      <c r="C12" s="19" t="s">
        <v>282</v>
      </c>
      <c r="D12" s="21" t="s">
        <v>283</v>
      </c>
      <c r="E12" s="35">
        <v>20</v>
      </c>
      <c r="F12" s="23">
        <v>1</v>
      </c>
      <c r="G12" s="24">
        <v>1</v>
      </c>
      <c r="H12" s="25">
        <v>30</v>
      </c>
      <c r="I12" s="41">
        <v>30</v>
      </c>
      <c r="J12" s="25">
        <v>15</v>
      </c>
      <c r="K12" s="41">
        <v>15</v>
      </c>
      <c r="L12" s="25"/>
      <c r="M12" s="41"/>
      <c r="N12" s="25"/>
      <c r="O12" s="42"/>
      <c r="P12" s="42"/>
      <c r="Q12" s="42"/>
      <c r="R12" s="42"/>
      <c r="S12" s="41"/>
      <c r="T12" s="25">
        <f t="shared" ref="T12:T63" si="0">(I12+K12+M12+N12+O12+P12+Q12+R12+S12)</f>
        <v>45</v>
      </c>
      <c r="U12" s="41">
        <v>5</v>
      </c>
    </row>
    <row r="13" spans="1:21" ht="25.5">
      <c r="A13" s="262" t="s">
        <v>27</v>
      </c>
      <c r="B13" s="241" t="s">
        <v>284</v>
      </c>
      <c r="C13" s="137" t="s">
        <v>285</v>
      </c>
      <c r="D13" s="71" t="s">
        <v>286</v>
      </c>
      <c r="E13" s="218" t="s">
        <v>792</v>
      </c>
      <c r="F13" s="134">
        <v>1</v>
      </c>
      <c r="G13" s="135">
        <v>2</v>
      </c>
      <c r="H13" s="136">
        <v>30</v>
      </c>
      <c r="I13" s="144">
        <v>30</v>
      </c>
      <c r="J13" s="136">
        <v>15</v>
      </c>
      <c r="K13" s="144">
        <v>45</v>
      </c>
      <c r="L13" s="136">
        <v>15</v>
      </c>
      <c r="M13" s="144">
        <v>45</v>
      </c>
      <c r="N13" s="136"/>
      <c r="O13" s="142"/>
      <c r="P13" s="142"/>
      <c r="Q13" s="142"/>
      <c r="R13" s="142"/>
      <c r="S13" s="144"/>
      <c r="T13" s="136">
        <f t="shared" si="0"/>
        <v>120</v>
      </c>
      <c r="U13" s="144">
        <v>6</v>
      </c>
    </row>
    <row r="14" spans="1:21">
      <c r="A14" s="218" t="s">
        <v>27</v>
      </c>
      <c r="B14" s="240" t="s">
        <v>239</v>
      </c>
      <c r="C14" s="247" t="s">
        <v>287</v>
      </c>
      <c r="D14" s="60" t="s">
        <v>216</v>
      </c>
      <c r="E14" s="209">
        <v>20</v>
      </c>
      <c r="F14" s="134">
        <v>1</v>
      </c>
      <c r="G14" s="135">
        <v>1</v>
      </c>
      <c r="H14" s="136">
        <v>30</v>
      </c>
      <c r="I14" s="144">
        <v>30</v>
      </c>
      <c r="J14" s="136">
        <v>15</v>
      </c>
      <c r="K14" s="144">
        <v>15</v>
      </c>
      <c r="L14" s="136"/>
      <c r="M14" s="144"/>
      <c r="N14" s="136"/>
      <c r="O14" s="142"/>
      <c r="P14" s="142"/>
      <c r="Q14" s="142"/>
      <c r="R14" s="142"/>
      <c r="S14" s="144"/>
      <c r="T14" s="136">
        <f t="shared" si="0"/>
        <v>45</v>
      </c>
      <c r="U14" s="144">
        <v>4</v>
      </c>
    </row>
    <row r="15" spans="1:21">
      <c r="A15" s="218" t="s">
        <v>27</v>
      </c>
      <c r="B15" s="240" t="s">
        <v>288</v>
      </c>
      <c r="C15" s="154" t="s">
        <v>289</v>
      </c>
      <c r="D15" s="60" t="s">
        <v>290</v>
      </c>
      <c r="E15" s="209">
        <v>35</v>
      </c>
      <c r="F15" s="134">
        <v>1</v>
      </c>
      <c r="G15" s="135">
        <v>1</v>
      </c>
      <c r="H15" s="136">
        <v>30</v>
      </c>
      <c r="I15" s="144">
        <v>30</v>
      </c>
      <c r="J15" s="136"/>
      <c r="K15" s="144"/>
      <c r="L15" s="136">
        <v>30</v>
      </c>
      <c r="M15" s="144">
        <v>30</v>
      </c>
      <c r="N15" s="136"/>
      <c r="O15" s="142"/>
      <c r="P15" s="142"/>
      <c r="Q15" s="142"/>
      <c r="R15" s="142"/>
      <c r="S15" s="144"/>
      <c r="T15" s="136">
        <f t="shared" si="0"/>
        <v>60</v>
      </c>
      <c r="U15" s="144">
        <v>6</v>
      </c>
    </row>
    <row r="16" spans="1:21">
      <c r="A16" s="218" t="s">
        <v>27</v>
      </c>
      <c r="B16" s="240" t="s">
        <v>291</v>
      </c>
      <c r="C16" s="154" t="s">
        <v>289</v>
      </c>
      <c r="D16" s="60" t="s">
        <v>290</v>
      </c>
      <c r="E16" s="209">
        <v>25</v>
      </c>
      <c r="F16" s="134">
        <v>1</v>
      </c>
      <c r="G16" s="135">
        <v>1</v>
      </c>
      <c r="H16" s="136">
        <v>30</v>
      </c>
      <c r="I16" s="144">
        <v>30</v>
      </c>
      <c r="J16" s="136"/>
      <c r="K16" s="144"/>
      <c r="L16" s="136">
        <v>30</v>
      </c>
      <c r="M16" s="144">
        <v>30</v>
      </c>
      <c r="N16" s="136"/>
      <c r="O16" s="142"/>
      <c r="P16" s="142"/>
      <c r="Q16" s="142"/>
      <c r="R16" s="142"/>
      <c r="S16" s="144"/>
      <c r="T16" s="136">
        <f t="shared" si="0"/>
        <v>60</v>
      </c>
      <c r="U16" s="144">
        <v>6</v>
      </c>
    </row>
    <row r="17" spans="1:21">
      <c r="A17" s="262" t="s">
        <v>27</v>
      </c>
      <c r="B17" s="241" t="s">
        <v>137</v>
      </c>
      <c r="C17" s="137" t="s">
        <v>285</v>
      </c>
      <c r="D17" s="71" t="s">
        <v>29</v>
      </c>
      <c r="E17" s="218">
        <v>40</v>
      </c>
      <c r="F17" s="134"/>
      <c r="G17" s="135"/>
      <c r="H17" s="136">
        <v>30</v>
      </c>
      <c r="I17" s="144">
        <v>30</v>
      </c>
      <c r="J17" s="136">
        <v>15</v>
      </c>
      <c r="K17" s="144">
        <v>15</v>
      </c>
      <c r="L17" s="136">
        <v>15</v>
      </c>
      <c r="M17" s="144">
        <v>15</v>
      </c>
      <c r="N17" s="136"/>
      <c r="O17" s="142"/>
      <c r="P17" s="142"/>
      <c r="Q17" s="142"/>
      <c r="R17" s="142"/>
      <c r="S17" s="144"/>
      <c r="T17" s="136">
        <f t="shared" si="0"/>
        <v>60</v>
      </c>
      <c r="U17" s="135">
        <v>4</v>
      </c>
    </row>
    <row r="18" spans="1:21">
      <c r="A18" s="218" t="s">
        <v>27</v>
      </c>
      <c r="B18" s="257" t="s">
        <v>292</v>
      </c>
      <c r="C18" s="137" t="s">
        <v>293</v>
      </c>
      <c r="D18" s="216" t="s">
        <v>294</v>
      </c>
      <c r="E18" s="209">
        <v>60</v>
      </c>
      <c r="F18" s="134">
        <v>1</v>
      </c>
      <c r="G18" s="135">
        <v>2</v>
      </c>
      <c r="H18" s="136">
        <v>30</v>
      </c>
      <c r="I18" s="144">
        <v>30</v>
      </c>
      <c r="J18" s="136">
        <v>20</v>
      </c>
      <c r="K18" s="144">
        <v>40</v>
      </c>
      <c r="L18" s="136">
        <v>10</v>
      </c>
      <c r="M18" s="144">
        <v>20</v>
      </c>
      <c r="N18" s="136"/>
      <c r="O18" s="142"/>
      <c r="P18" s="142"/>
      <c r="Q18" s="142"/>
      <c r="R18" s="142"/>
      <c r="S18" s="144"/>
      <c r="T18" s="136">
        <f t="shared" si="0"/>
        <v>90</v>
      </c>
      <c r="U18" s="144">
        <v>6</v>
      </c>
    </row>
    <row r="19" spans="1:21">
      <c r="A19" s="218" t="s">
        <v>27</v>
      </c>
      <c r="B19" s="240" t="s">
        <v>292</v>
      </c>
      <c r="C19" s="154" t="s">
        <v>295</v>
      </c>
      <c r="D19" s="60" t="s">
        <v>294</v>
      </c>
      <c r="E19" s="209">
        <v>50</v>
      </c>
      <c r="F19" s="134">
        <v>1</v>
      </c>
      <c r="G19" s="135">
        <v>2</v>
      </c>
      <c r="H19" s="136">
        <v>15</v>
      </c>
      <c r="I19" s="144">
        <v>15</v>
      </c>
      <c r="J19" s="136">
        <v>15</v>
      </c>
      <c r="K19" s="144">
        <v>15</v>
      </c>
      <c r="L19" s="136"/>
      <c r="M19" s="144"/>
      <c r="N19" s="136"/>
      <c r="O19" s="142"/>
      <c r="P19" s="142"/>
      <c r="Q19" s="142"/>
      <c r="R19" s="142"/>
      <c r="S19" s="144"/>
      <c r="T19" s="136">
        <f t="shared" si="0"/>
        <v>30</v>
      </c>
      <c r="U19" s="144">
        <v>3</v>
      </c>
    </row>
    <row r="20" spans="1:21">
      <c r="A20" s="218" t="s">
        <v>27</v>
      </c>
      <c r="B20" s="240" t="s">
        <v>160</v>
      </c>
      <c r="C20" s="71" t="s">
        <v>296</v>
      </c>
      <c r="D20" s="60" t="s">
        <v>136</v>
      </c>
      <c r="E20" s="209">
        <v>37</v>
      </c>
      <c r="F20" s="134">
        <v>1</v>
      </c>
      <c r="G20" s="135">
        <v>1</v>
      </c>
      <c r="H20" s="136">
        <v>30</v>
      </c>
      <c r="I20" s="144">
        <v>30</v>
      </c>
      <c r="J20" s="136">
        <v>10</v>
      </c>
      <c r="K20" s="144">
        <v>10</v>
      </c>
      <c r="L20" s="136">
        <v>5</v>
      </c>
      <c r="M20" s="144">
        <v>5</v>
      </c>
      <c r="N20" s="136"/>
      <c r="O20" s="142"/>
      <c r="P20" s="142"/>
      <c r="Q20" s="142"/>
      <c r="R20" s="142"/>
      <c r="S20" s="144"/>
      <c r="T20" s="136">
        <f t="shared" si="0"/>
        <v>45</v>
      </c>
      <c r="U20" s="144">
        <v>4</v>
      </c>
    </row>
    <row r="21" spans="1:21">
      <c r="A21" s="218" t="s">
        <v>27</v>
      </c>
      <c r="B21" s="240" t="s">
        <v>55</v>
      </c>
      <c r="C21" s="217" t="s">
        <v>297</v>
      </c>
      <c r="D21" s="60" t="s">
        <v>29</v>
      </c>
      <c r="E21" s="209">
        <v>30</v>
      </c>
      <c r="F21" s="134">
        <v>1</v>
      </c>
      <c r="G21" s="135">
        <v>1</v>
      </c>
      <c r="H21" s="136">
        <v>30</v>
      </c>
      <c r="I21" s="144">
        <v>30</v>
      </c>
      <c r="J21" s="136"/>
      <c r="K21" s="144"/>
      <c r="L21" s="136">
        <v>15</v>
      </c>
      <c r="M21" s="144">
        <v>15</v>
      </c>
      <c r="N21" s="136"/>
      <c r="O21" s="142"/>
      <c r="P21" s="142"/>
      <c r="Q21" s="142"/>
      <c r="R21" s="142"/>
      <c r="S21" s="144"/>
      <c r="T21" s="136">
        <f t="shared" si="0"/>
        <v>45</v>
      </c>
      <c r="U21" s="144"/>
    </row>
    <row r="22" spans="1:21">
      <c r="A22" s="218" t="s">
        <v>27</v>
      </c>
      <c r="B22" s="217" t="s">
        <v>87</v>
      </c>
      <c r="C22" s="247" t="s">
        <v>298</v>
      </c>
      <c r="D22" s="60" t="s">
        <v>290</v>
      </c>
      <c r="E22" s="209">
        <v>23</v>
      </c>
      <c r="F22" s="211">
        <v>1</v>
      </c>
      <c r="G22" s="63">
        <v>1</v>
      </c>
      <c r="H22" s="136">
        <v>30</v>
      </c>
      <c r="I22" s="144">
        <v>30</v>
      </c>
      <c r="J22" s="136"/>
      <c r="K22" s="144"/>
      <c r="L22" s="136">
        <v>30</v>
      </c>
      <c r="M22" s="144">
        <v>30</v>
      </c>
      <c r="N22" s="136"/>
      <c r="O22" s="142"/>
      <c r="P22" s="142"/>
      <c r="Q22" s="142"/>
      <c r="R22" s="142"/>
      <c r="S22" s="144"/>
      <c r="T22" s="136">
        <f t="shared" si="0"/>
        <v>60</v>
      </c>
      <c r="U22" s="144">
        <v>5</v>
      </c>
    </row>
    <row r="23" spans="1:21">
      <c r="A23" s="218" t="s">
        <v>27</v>
      </c>
      <c r="B23" s="217" t="s">
        <v>87</v>
      </c>
      <c r="C23" s="217" t="s">
        <v>299</v>
      </c>
      <c r="D23" s="60" t="s">
        <v>290</v>
      </c>
      <c r="E23" s="209">
        <v>23</v>
      </c>
      <c r="F23" s="211">
        <v>1</v>
      </c>
      <c r="G23" s="63">
        <v>1</v>
      </c>
      <c r="H23" s="136">
        <v>30</v>
      </c>
      <c r="I23" s="144">
        <v>30</v>
      </c>
      <c r="J23" s="136"/>
      <c r="K23" s="144"/>
      <c r="L23" s="136">
        <v>30</v>
      </c>
      <c r="M23" s="144">
        <v>30</v>
      </c>
      <c r="N23" s="136"/>
      <c r="O23" s="142"/>
      <c r="P23" s="142"/>
      <c r="Q23" s="142"/>
      <c r="R23" s="142"/>
      <c r="S23" s="144"/>
      <c r="T23" s="136">
        <f t="shared" si="0"/>
        <v>60</v>
      </c>
      <c r="U23" s="144">
        <v>5</v>
      </c>
    </row>
    <row r="24" spans="1:21" ht="51">
      <c r="A24" s="218" t="s">
        <v>27</v>
      </c>
      <c r="B24" s="217" t="s">
        <v>87</v>
      </c>
      <c r="C24" s="217" t="s">
        <v>300</v>
      </c>
      <c r="D24" s="60" t="s">
        <v>290</v>
      </c>
      <c r="E24" s="209">
        <v>23</v>
      </c>
      <c r="F24" s="211">
        <v>1</v>
      </c>
      <c r="G24" s="63">
        <v>1</v>
      </c>
      <c r="H24" s="136">
        <v>30</v>
      </c>
      <c r="I24" s="144">
        <v>30</v>
      </c>
      <c r="J24" s="136">
        <v>30</v>
      </c>
      <c r="K24" s="144">
        <v>30</v>
      </c>
      <c r="L24" s="136"/>
      <c r="M24" s="144"/>
      <c r="N24" s="136"/>
      <c r="O24" s="142"/>
      <c r="P24" s="142"/>
      <c r="Q24" s="142"/>
      <c r="R24" s="142"/>
      <c r="S24" s="144"/>
      <c r="T24" s="136">
        <f t="shared" si="0"/>
        <v>60</v>
      </c>
      <c r="U24" s="144">
        <v>6</v>
      </c>
    </row>
    <row r="25" spans="1:21" ht="51">
      <c r="A25" s="218" t="s">
        <v>27</v>
      </c>
      <c r="B25" s="217" t="s">
        <v>87</v>
      </c>
      <c r="C25" s="217" t="s">
        <v>301</v>
      </c>
      <c r="D25" s="60" t="s">
        <v>290</v>
      </c>
      <c r="E25" s="209">
        <v>23</v>
      </c>
      <c r="F25" s="211">
        <v>1</v>
      </c>
      <c r="G25" s="63">
        <v>1</v>
      </c>
      <c r="H25" s="136">
        <v>30</v>
      </c>
      <c r="I25" s="144">
        <v>30</v>
      </c>
      <c r="J25" s="136">
        <v>30</v>
      </c>
      <c r="K25" s="144">
        <v>30</v>
      </c>
      <c r="L25" s="136"/>
      <c r="M25" s="144"/>
      <c r="N25" s="136"/>
      <c r="O25" s="142"/>
      <c r="P25" s="142"/>
      <c r="Q25" s="142"/>
      <c r="R25" s="142"/>
      <c r="S25" s="144"/>
      <c r="T25" s="136">
        <f t="shared" si="0"/>
        <v>60</v>
      </c>
      <c r="U25" s="144">
        <v>5</v>
      </c>
    </row>
    <row r="26" spans="1:21">
      <c r="A26" s="218" t="s">
        <v>27</v>
      </c>
      <c r="B26" s="217" t="s">
        <v>86</v>
      </c>
      <c r="C26" s="247" t="s">
        <v>298</v>
      </c>
      <c r="D26" s="60" t="s">
        <v>290</v>
      </c>
      <c r="E26" s="209">
        <v>23</v>
      </c>
      <c r="F26" s="211">
        <v>1</v>
      </c>
      <c r="G26" s="63">
        <v>1</v>
      </c>
      <c r="H26" s="136">
        <v>30</v>
      </c>
      <c r="I26" s="144">
        <v>30</v>
      </c>
      <c r="J26" s="136"/>
      <c r="K26" s="144"/>
      <c r="L26" s="136">
        <v>30</v>
      </c>
      <c r="M26" s="144">
        <v>30</v>
      </c>
      <c r="N26" s="136"/>
      <c r="O26" s="142"/>
      <c r="P26" s="142"/>
      <c r="Q26" s="142"/>
      <c r="R26" s="142"/>
      <c r="S26" s="144"/>
      <c r="T26" s="136">
        <f t="shared" si="0"/>
        <v>60</v>
      </c>
      <c r="U26" s="144">
        <v>5</v>
      </c>
    </row>
    <row r="27" spans="1:21" ht="14.25" customHeight="1">
      <c r="A27" s="218" t="s">
        <v>27</v>
      </c>
      <c r="B27" s="217" t="s">
        <v>86</v>
      </c>
      <c r="C27" s="217" t="s">
        <v>299</v>
      </c>
      <c r="D27" s="60" t="s">
        <v>290</v>
      </c>
      <c r="E27" s="209">
        <v>23</v>
      </c>
      <c r="F27" s="211">
        <v>1</v>
      </c>
      <c r="G27" s="63">
        <v>1</v>
      </c>
      <c r="H27" s="136">
        <v>30</v>
      </c>
      <c r="I27" s="144">
        <v>30</v>
      </c>
      <c r="J27" s="136"/>
      <c r="K27" s="144"/>
      <c r="L27" s="136">
        <v>30</v>
      </c>
      <c r="M27" s="144">
        <v>30</v>
      </c>
      <c r="N27" s="136"/>
      <c r="O27" s="142"/>
      <c r="P27" s="142"/>
      <c r="Q27" s="142"/>
      <c r="R27" s="142"/>
      <c r="S27" s="144"/>
      <c r="T27" s="136">
        <f t="shared" si="0"/>
        <v>60</v>
      </c>
      <c r="U27" s="144">
        <v>5</v>
      </c>
    </row>
    <row r="28" spans="1:21" ht="51">
      <c r="A28" s="218" t="s">
        <v>27</v>
      </c>
      <c r="B28" s="217" t="s">
        <v>86</v>
      </c>
      <c r="C28" s="217" t="s">
        <v>300</v>
      </c>
      <c r="D28" s="60" t="s">
        <v>290</v>
      </c>
      <c r="E28" s="209">
        <v>23</v>
      </c>
      <c r="F28" s="211">
        <v>1</v>
      </c>
      <c r="G28" s="63">
        <v>1</v>
      </c>
      <c r="H28" s="136">
        <v>30</v>
      </c>
      <c r="I28" s="144">
        <v>30</v>
      </c>
      <c r="J28" s="136">
        <v>30</v>
      </c>
      <c r="K28" s="144">
        <v>30</v>
      </c>
      <c r="L28" s="136"/>
      <c r="M28" s="144"/>
      <c r="N28" s="136"/>
      <c r="O28" s="142"/>
      <c r="P28" s="142"/>
      <c r="Q28" s="142"/>
      <c r="R28" s="142"/>
      <c r="S28" s="144"/>
      <c r="T28" s="136">
        <f t="shared" si="0"/>
        <v>60</v>
      </c>
      <c r="U28" s="144">
        <v>6</v>
      </c>
    </row>
    <row r="29" spans="1:21" ht="51">
      <c r="A29" s="218" t="s">
        <v>27</v>
      </c>
      <c r="B29" s="217" t="s">
        <v>86</v>
      </c>
      <c r="C29" s="217" t="s">
        <v>301</v>
      </c>
      <c r="D29" s="60" t="s">
        <v>290</v>
      </c>
      <c r="E29" s="209">
        <v>23</v>
      </c>
      <c r="F29" s="231">
        <v>1</v>
      </c>
      <c r="G29" s="232">
        <v>1</v>
      </c>
      <c r="H29" s="136">
        <v>30</v>
      </c>
      <c r="I29" s="144">
        <v>30</v>
      </c>
      <c r="J29" s="136">
        <v>30</v>
      </c>
      <c r="K29" s="144">
        <v>30</v>
      </c>
      <c r="L29" s="136"/>
      <c r="M29" s="144"/>
      <c r="N29" s="136"/>
      <c r="O29" s="142"/>
      <c r="P29" s="142"/>
      <c r="Q29" s="142"/>
      <c r="R29" s="142"/>
      <c r="S29" s="144"/>
      <c r="T29" s="136">
        <f t="shared" si="0"/>
        <v>60</v>
      </c>
      <c r="U29" s="144">
        <v>5</v>
      </c>
    </row>
    <row r="30" spans="1:21">
      <c r="A30" s="218" t="s">
        <v>27</v>
      </c>
      <c r="B30" s="217" t="s">
        <v>302</v>
      </c>
      <c r="C30" s="217" t="s">
        <v>303</v>
      </c>
      <c r="D30" s="60" t="s">
        <v>290</v>
      </c>
      <c r="E30" s="261">
        <v>28</v>
      </c>
      <c r="F30" s="72">
        <v>1</v>
      </c>
      <c r="G30" s="72">
        <v>1</v>
      </c>
      <c r="H30" s="226">
        <v>30</v>
      </c>
      <c r="I30" s="144">
        <v>30</v>
      </c>
      <c r="J30" s="136">
        <v>15</v>
      </c>
      <c r="K30" s="144">
        <v>15</v>
      </c>
      <c r="L30" s="136">
        <v>15</v>
      </c>
      <c r="M30" s="144">
        <v>15</v>
      </c>
      <c r="N30" s="136"/>
      <c r="O30" s="142"/>
      <c r="P30" s="142"/>
      <c r="Q30" s="142"/>
      <c r="R30" s="142"/>
      <c r="S30" s="144"/>
      <c r="T30" s="136">
        <f t="shared" si="0"/>
        <v>60</v>
      </c>
      <c r="U30" s="144">
        <v>5</v>
      </c>
    </row>
    <row r="31" spans="1:21" ht="25.5">
      <c r="A31" s="218" t="s">
        <v>27</v>
      </c>
      <c r="B31" s="217" t="s">
        <v>304</v>
      </c>
      <c r="C31" s="217" t="s">
        <v>305</v>
      </c>
      <c r="D31" s="60" t="s">
        <v>306</v>
      </c>
      <c r="E31" s="261" t="s">
        <v>307</v>
      </c>
      <c r="F31" s="72">
        <v>1</v>
      </c>
      <c r="G31" s="72">
        <v>2</v>
      </c>
      <c r="H31" s="226">
        <v>30</v>
      </c>
      <c r="I31" s="144">
        <v>30</v>
      </c>
      <c r="J31" s="136"/>
      <c r="K31" s="144"/>
      <c r="L31" s="136">
        <v>30</v>
      </c>
      <c r="M31" s="144">
        <v>60</v>
      </c>
      <c r="N31" s="136"/>
      <c r="O31" s="142"/>
      <c r="P31" s="142"/>
      <c r="Q31" s="142"/>
      <c r="R31" s="142"/>
      <c r="S31" s="144"/>
      <c r="T31" s="136">
        <f t="shared" si="0"/>
        <v>90</v>
      </c>
      <c r="U31" s="144">
        <v>5</v>
      </c>
    </row>
    <row r="32" spans="1:21">
      <c r="A32" s="218" t="s">
        <v>27</v>
      </c>
      <c r="B32" s="217" t="s">
        <v>302</v>
      </c>
      <c r="C32" s="217" t="s">
        <v>308</v>
      </c>
      <c r="D32" s="60" t="s">
        <v>290</v>
      </c>
      <c r="E32" s="261">
        <v>28</v>
      </c>
      <c r="F32" s="72">
        <v>1</v>
      </c>
      <c r="G32" s="72">
        <v>1</v>
      </c>
      <c r="H32" s="226">
        <v>30</v>
      </c>
      <c r="I32" s="144">
        <v>30</v>
      </c>
      <c r="J32" s="136"/>
      <c r="K32" s="144"/>
      <c r="L32" s="136">
        <v>30</v>
      </c>
      <c r="M32" s="144">
        <v>30</v>
      </c>
      <c r="N32" s="136"/>
      <c r="O32" s="142"/>
      <c r="P32" s="142"/>
      <c r="Q32" s="142"/>
      <c r="R32" s="142"/>
      <c r="S32" s="144"/>
      <c r="T32" s="136">
        <f t="shared" si="0"/>
        <v>60</v>
      </c>
      <c r="U32" s="144">
        <v>5</v>
      </c>
    </row>
    <row r="33" spans="1:21">
      <c r="A33" s="218" t="s">
        <v>27</v>
      </c>
      <c r="B33" s="217" t="s">
        <v>302</v>
      </c>
      <c r="C33" s="71" t="s">
        <v>309</v>
      </c>
      <c r="D33" s="60" t="s">
        <v>290</v>
      </c>
      <c r="E33" s="261">
        <v>28</v>
      </c>
      <c r="F33" s="72">
        <v>1</v>
      </c>
      <c r="G33" s="72">
        <v>1</v>
      </c>
      <c r="H33" s="226">
        <v>30</v>
      </c>
      <c r="I33" s="144">
        <v>30</v>
      </c>
      <c r="J33" s="136">
        <v>30</v>
      </c>
      <c r="K33" s="144">
        <v>30</v>
      </c>
      <c r="L33" s="136"/>
      <c r="M33" s="144"/>
      <c r="N33" s="136"/>
      <c r="O33" s="142"/>
      <c r="P33" s="142"/>
      <c r="Q33" s="142"/>
      <c r="R33" s="142"/>
      <c r="S33" s="144"/>
      <c r="T33" s="136">
        <f t="shared" si="0"/>
        <v>60</v>
      </c>
      <c r="U33" s="144">
        <v>5</v>
      </c>
    </row>
    <row r="34" spans="1:21" ht="51">
      <c r="A34" s="218" t="s">
        <v>27</v>
      </c>
      <c r="B34" s="217" t="s">
        <v>302</v>
      </c>
      <c r="C34" s="217" t="s">
        <v>310</v>
      </c>
      <c r="D34" s="60" t="s">
        <v>290</v>
      </c>
      <c r="E34" s="209">
        <v>28</v>
      </c>
      <c r="F34" s="72">
        <v>1</v>
      </c>
      <c r="G34" s="72">
        <v>1</v>
      </c>
      <c r="H34" s="136">
        <v>30</v>
      </c>
      <c r="I34" s="144">
        <v>30</v>
      </c>
      <c r="J34" s="136">
        <v>30</v>
      </c>
      <c r="K34" s="144">
        <v>30</v>
      </c>
      <c r="L34" s="136"/>
      <c r="M34" s="144"/>
      <c r="N34" s="136"/>
      <c r="O34" s="142"/>
      <c r="P34" s="142"/>
      <c r="Q34" s="142"/>
      <c r="R34" s="142"/>
      <c r="S34" s="144"/>
      <c r="T34" s="136">
        <f t="shared" si="0"/>
        <v>60</v>
      </c>
      <c r="U34" s="144">
        <v>6</v>
      </c>
    </row>
    <row r="35" spans="1:21" ht="51">
      <c r="A35" s="218" t="s">
        <v>27</v>
      </c>
      <c r="B35" s="217" t="s">
        <v>302</v>
      </c>
      <c r="C35" s="217" t="s">
        <v>311</v>
      </c>
      <c r="D35" s="60" t="s">
        <v>290</v>
      </c>
      <c r="E35" s="209">
        <v>28</v>
      </c>
      <c r="F35" s="72">
        <v>1</v>
      </c>
      <c r="G35" s="72">
        <v>1</v>
      </c>
      <c r="H35" s="136">
        <v>30</v>
      </c>
      <c r="I35" s="144">
        <v>30</v>
      </c>
      <c r="J35" s="136">
        <v>15</v>
      </c>
      <c r="K35" s="144">
        <v>15</v>
      </c>
      <c r="L35" s="136"/>
      <c r="M35" s="144"/>
      <c r="N35" s="136"/>
      <c r="O35" s="142"/>
      <c r="P35" s="142"/>
      <c r="Q35" s="142"/>
      <c r="R35" s="142"/>
      <c r="S35" s="144"/>
      <c r="T35" s="136">
        <f t="shared" si="0"/>
        <v>45</v>
      </c>
      <c r="U35" s="144">
        <v>4</v>
      </c>
    </row>
    <row r="36" spans="1:21">
      <c r="A36" s="218" t="s">
        <v>27</v>
      </c>
      <c r="B36" s="217" t="s">
        <v>312</v>
      </c>
      <c r="C36" s="217" t="s">
        <v>303</v>
      </c>
      <c r="D36" s="60" t="s">
        <v>290</v>
      </c>
      <c r="E36" s="209">
        <v>23</v>
      </c>
      <c r="F36" s="72">
        <v>1</v>
      </c>
      <c r="G36" s="72">
        <v>1</v>
      </c>
      <c r="H36" s="136">
        <v>30</v>
      </c>
      <c r="I36" s="144">
        <v>30</v>
      </c>
      <c r="J36" s="136">
        <v>15</v>
      </c>
      <c r="K36" s="144">
        <v>15</v>
      </c>
      <c r="L36" s="136">
        <v>15</v>
      </c>
      <c r="M36" s="144">
        <v>15</v>
      </c>
      <c r="N36" s="136"/>
      <c r="O36" s="142"/>
      <c r="P36" s="142"/>
      <c r="Q36" s="142"/>
      <c r="R36" s="142"/>
      <c r="S36" s="144"/>
      <c r="T36" s="136">
        <f t="shared" si="0"/>
        <v>60</v>
      </c>
      <c r="U36" s="144">
        <v>5</v>
      </c>
    </row>
    <row r="37" spans="1:21" ht="25.5">
      <c r="A37" s="218" t="s">
        <v>27</v>
      </c>
      <c r="B37" s="217" t="s">
        <v>313</v>
      </c>
      <c r="C37" s="217" t="s">
        <v>305</v>
      </c>
      <c r="D37" s="60" t="s">
        <v>306</v>
      </c>
      <c r="E37" s="209" t="s">
        <v>314</v>
      </c>
      <c r="F37" s="134">
        <v>1</v>
      </c>
      <c r="G37" s="135">
        <v>2</v>
      </c>
      <c r="H37" s="136">
        <v>30</v>
      </c>
      <c r="I37" s="144">
        <v>30</v>
      </c>
      <c r="J37" s="136"/>
      <c r="K37" s="144"/>
      <c r="L37" s="136">
        <v>30</v>
      </c>
      <c r="M37" s="144">
        <v>60</v>
      </c>
      <c r="N37" s="136"/>
      <c r="O37" s="142"/>
      <c r="P37" s="142"/>
      <c r="Q37" s="142"/>
      <c r="R37" s="142"/>
      <c r="S37" s="144"/>
      <c r="T37" s="136">
        <f t="shared" si="0"/>
        <v>90</v>
      </c>
      <c r="U37" s="144">
        <v>5</v>
      </c>
    </row>
    <row r="38" spans="1:21">
      <c r="A38" s="218" t="s">
        <v>27</v>
      </c>
      <c r="B38" s="217" t="s">
        <v>312</v>
      </c>
      <c r="C38" s="217" t="s">
        <v>308</v>
      </c>
      <c r="D38" s="60" t="s">
        <v>290</v>
      </c>
      <c r="E38" s="209">
        <v>23</v>
      </c>
      <c r="F38" s="134">
        <v>1</v>
      </c>
      <c r="G38" s="135">
        <v>1</v>
      </c>
      <c r="H38" s="136">
        <v>30</v>
      </c>
      <c r="I38" s="144">
        <v>30</v>
      </c>
      <c r="J38" s="136"/>
      <c r="K38" s="144"/>
      <c r="L38" s="136">
        <v>30</v>
      </c>
      <c r="M38" s="144">
        <v>30</v>
      </c>
      <c r="N38" s="136"/>
      <c r="O38" s="142"/>
      <c r="P38" s="142"/>
      <c r="Q38" s="142"/>
      <c r="R38" s="142"/>
      <c r="S38" s="144"/>
      <c r="T38" s="136">
        <f t="shared" si="0"/>
        <v>60</v>
      </c>
      <c r="U38" s="144">
        <v>5</v>
      </c>
    </row>
    <row r="39" spans="1:21">
      <c r="A39" s="218" t="s">
        <v>27</v>
      </c>
      <c r="B39" s="217" t="s">
        <v>312</v>
      </c>
      <c r="C39" s="71" t="s">
        <v>309</v>
      </c>
      <c r="D39" s="60" t="s">
        <v>290</v>
      </c>
      <c r="E39" s="209">
        <v>23</v>
      </c>
      <c r="F39" s="134">
        <v>1</v>
      </c>
      <c r="G39" s="135">
        <v>1</v>
      </c>
      <c r="H39" s="136">
        <v>30</v>
      </c>
      <c r="I39" s="144">
        <v>30</v>
      </c>
      <c r="J39" s="136">
        <v>30</v>
      </c>
      <c r="K39" s="144">
        <v>30</v>
      </c>
      <c r="L39" s="136"/>
      <c r="M39" s="144"/>
      <c r="N39" s="136"/>
      <c r="O39" s="142"/>
      <c r="P39" s="142"/>
      <c r="Q39" s="142"/>
      <c r="R39" s="142"/>
      <c r="S39" s="144"/>
      <c r="T39" s="136">
        <f t="shared" si="0"/>
        <v>60</v>
      </c>
      <c r="U39" s="144">
        <v>5</v>
      </c>
    </row>
    <row r="40" spans="1:21" ht="51">
      <c r="A40" s="218" t="s">
        <v>27</v>
      </c>
      <c r="B40" s="217" t="s">
        <v>312</v>
      </c>
      <c r="C40" s="217" t="s">
        <v>310</v>
      </c>
      <c r="D40" s="60" t="s">
        <v>290</v>
      </c>
      <c r="E40" s="209">
        <v>23</v>
      </c>
      <c r="F40" s="134">
        <v>1</v>
      </c>
      <c r="G40" s="135">
        <v>1</v>
      </c>
      <c r="H40" s="136">
        <v>30</v>
      </c>
      <c r="I40" s="144">
        <v>30</v>
      </c>
      <c r="J40" s="136">
        <v>30</v>
      </c>
      <c r="K40" s="144">
        <v>30</v>
      </c>
      <c r="L40" s="136"/>
      <c r="M40" s="144"/>
      <c r="N40" s="136"/>
      <c r="O40" s="142"/>
      <c r="P40" s="142"/>
      <c r="Q40" s="142"/>
      <c r="R40" s="142"/>
      <c r="S40" s="144"/>
      <c r="T40" s="136">
        <f t="shared" si="0"/>
        <v>60</v>
      </c>
      <c r="U40" s="144">
        <v>6</v>
      </c>
    </row>
    <row r="41" spans="1:21" ht="51">
      <c r="A41" s="218" t="s">
        <v>27</v>
      </c>
      <c r="B41" s="217" t="s">
        <v>312</v>
      </c>
      <c r="C41" s="217" t="s">
        <v>315</v>
      </c>
      <c r="D41" s="60" t="s">
        <v>290</v>
      </c>
      <c r="E41" s="209">
        <v>23</v>
      </c>
      <c r="F41" s="134">
        <v>1</v>
      </c>
      <c r="G41" s="135">
        <v>1</v>
      </c>
      <c r="H41" s="136">
        <v>30</v>
      </c>
      <c r="I41" s="144">
        <v>30</v>
      </c>
      <c r="J41" s="136">
        <v>15</v>
      </c>
      <c r="K41" s="144">
        <v>15</v>
      </c>
      <c r="L41" s="136"/>
      <c r="M41" s="144"/>
      <c r="N41" s="136"/>
      <c r="O41" s="142"/>
      <c r="P41" s="142"/>
      <c r="Q41" s="142"/>
      <c r="R41" s="142"/>
      <c r="S41" s="144"/>
      <c r="T41" s="136">
        <f t="shared" si="0"/>
        <v>45</v>
      </c>
      <c r="U41" s="144">
        <v>4</v>
      </c>
    </row>
    <row r="42" spans="1:21">
      <c r="A42" s="218" t="s">
        <v>27</v>
      </c>
      <c r="B42" s="217" t="s">
        <v>200</v>
      </c>
      <c r="C42" s="217" t="s">
        <v>316</v>
      </c>
      <c r="D42" s="60" t="s">
        <v>294</v>
      </c>
      <c r="E42" s="209">
        <v>17</v>
      </c>
      <c r="F42" s="134">
        <v>1</v>
      </c>
      <c r="G42" s="135">
        <v>1</v>
      </c>
      <c r="H42" s="136">
        <v>30</v>
      </c>
      <c r="I42" s="144">
        <v>30</v>
      </c>
      <c r="J42" s="136">
        <v>30</v>
      </c>
      <c r="K42" s="144">
        <v>30</v>
      </c>
      <c r="L42" s="136"/>
      <c r="M42" s="144"/>
      <c r="N42" s="136"/>
      <c r="O42" s="142"/>
      <c r="P42" s="142"/>
      <c r="Q42" s="142"/>
      <c r="R42" s="142"/>
      <c r="S42" s="144"/>
      <c r="T42" s="136">
        <f t="shared" si="0"/>
        <v>60</v>
      </c>
      <c r="U42" s="144">
        <v>5</v>
      </c>
    </row>
    <row r="43" spans="1:21" ht="25.5">
      <c r="A43" s="218" t="s">
        <v>27</v>
      </c>
      <c r="B43" s="217" t="s">
        <v>200</v>
      </c>
      <c r="C43" s="217" t="s">
        <v>317</v>
      </c>
      <c r="D43" s="60" t="s">
        <v>294</v>
      </c>
      <c r="E43" s="209">
        <v>17</v>
      </c>
      <c r="F43" s="134">
        <v>1</v>
      </c>
      <c r="G43" s="135">
        <v>1</v>
      </c>
      <c r="H43" s="136">
        <v>45</v>
      </c>
      <c r="I43" s="144">
        <v>45</v>
      </c>
      <c r="J43" s="136">
        <v>30</v>
      </c>
      <c r="K43" s="144">
        <v>30</v>
      </c>
      <c r="L43" s="136"/>
      <c r="M43" s="144"/>
      <c r="N43" s="136"/>
      <c r="O43" s="142"/>
      <c r="P43" s="142"/>
      <c r="Q43" s="142"/>
      <c r="R43" s="142"/>
      <c r="S43" s="144"/>
      <c r="T43" s="136">
        <f t="shared" si="0"/>
        <v>75</v>
      </c>
      <c r="U43" s="144">
        <v>7</v>
      </c>
    </row>
    <row r="44" spans="1:21" ht="72.75" customHeight="1">
      <c r="A44" s="218" t="s">
        <v>27</v>
      </c>
      <c r="B44" s="217" t="s">
        <v>200</v>
      </c>
      <c r="C44" s="217" t="s">
        <v>318</v>
      </c>
      <c r="D44" s="60" t="s">
        <v>294</v>
      </c>
      <c r="E44" s="209">
        <v>17</v>
      </c>
      <c r="F44" s="134">
        <v>1</v>
      </c>
      <c r="G44" s="135">
        <v>1</v>
      </c>
      <c r="H44" s="136">
        <v>30</v>
      </c>
      <c r="I44" s="144">
        <v>30</v>
      </c>
      <c r="J44" s="136">
        <v>15</v>
      </c>
      <c r="K44" s="144">
        <v>15</v>
      </c>
      <c r="L44" s="136"/>
      <c r="M44" s="144"/>
      <c r="N44" s="136"/>
      <c r="O44" s="142"/>
      <c r="P44" s="142"/>
      <c r="Q44" s="142"/>
      <c r="R44" s="142"/>
      <c r="S44" s="144"/>
      <c r="T44" s="136">
        <f t="shared" si="0"/>
        <v>45</v>
      </c>
      <c r="U44" s="144">
        <v>4</v>
      </c>
    </row>
    <row r="45" spans="1:21" ht="51">
      <c r="A45" s="218" t="s">
        <v>27</v>
      </c>
      <c r="B45" s="217" t="s">
        <v>200</v>
      </c>
      <c r="C45" s="217" t="s">
        <v>319</v>
      </c>
      <c r="D45" s="60" t="s">
        <v>294</v>
      </c>
      <c r="E45" s="209">
        <v>17</v>
      </c>
      <c r="F45" s="134">
        <v>1</v>
      </c>
      <c r="G45" s="135">
        <v>1</v>
      </c>
      <c r="H45" s="136">
        <v>30</v>
      </c>
      <c r="I45" s="144">
        <v>30</v>
      </c>
      <c r="J45" s="136">
        <v>15</v>
      </c>
      <c r="K45" s="144">
        <v>15</v>
      </c>
      <c r="L45" s="136"/>
      <c r="M45" s="144"/>
      <c r="N45" s="136"/>
      <c r="O45" s="142"/>
      <c r="P45" s="142"/>
      <c r="Q45" s="142"/>
      <c r="R45" s="142"/>
      <c r="S45" s="144"/>
      <c r="T45" s="136">
        <f t="shared" si="0"/>
        <v>45</v>
      </c>
      <c r="U45" s="144">
        <v>4</v>
      </c>
    </row>
    <row r="46" spans="1:21">
      <c r="A46" s="218" t="s">
        <v>27</v>
      </c>
      <c r="B46" s="217" t="s">
        <v>201</v>
      </c>
      <c r="C46" s="217" t="s">
        <v>316</v>
      </c>
      <c r="D46" s="60" t="s">
        <v>294</v>
      </c>
      <c r="E46" s="209">
        <v>16</v>
      </c>
      <c r="F46" s="134">
        <v>1</v>
      </c>
      <c r="G46" s="135">
        <v>1</v>
      </c>
      <c r="H46" s="136">
        <v>30</v>
      </c>
      <c r="I46" s="144">
        <v>30</v>
      </c>
      <c r="J46" s="136">
        <v>30</v>
      </c>
      <c r="K46" s="144">
        <v>30</v>
      </c>
      <c r="L46" s="136"/>
      <c r="M46" s="144"/>
      <c r="N46" s="136"/>
      <c r="O46" s="142"/>
      <c r="P46" s="142"/>
      <c r="Q46" s="142"/>
      <c r="R46" s="142"/>
      <c r="S46" s="144"/>
      <c r="T46" s="136">
        <f t="shared" si="0"/>
        <v>60</v>
      </c>
      <c r="U46" s="144">
        <v>5</v>
      </c>
    </row>
    <row r="47" spans="1:21" ht="25.5">
      <c r="A47" s="218" t="s">
        <v>27</v>
      </c>
      <c r="B47" s="217" t="s">
        <v>201</v>
      </c>
      <c r="C47" s="217" t="s">
        <v>317</v>
      </c>
      <c r="D47" s="60" t="s">
        <v>294</v>
      </c>
      <c r="E47" s="209">
        <v>16</v>
      </c>
      <c r="F47" s="134">
        <v>1</v>
      </c>
      <c r="G47" s="135">
        <v>1</v>
      </c>
      <c r="H47" s="136">
        <v>45</v>
      </c>
      <c r="I47" s="144">
        <v>45</v>
      </c>
      <c r="J47" s="136">
        <v>30</v>
      </c>
      <c r="K47" s="144">
        <v>30</v>
      </c>
      <c r="L47" s="136"/>
      <c r="M47" s="144"/>
      <c r="N47" s="136"/>
      <c r="O47" s="142"/>
      <c r="P47" s="142"/>
      <c r="Q47" s="142"/>
      <c r="R47" s="142"/>
      <c r="S47" s="144"/>
      <c r="T47" s="136">
        <f t="shared" si="0"/>
        <v>75</v>
      </c>
      <c r="U47" s="144">
        <v>7</v>
      </c>
    </row>
    <row r="48" spans="1:21" ht="51">
      <c r="A48" s="218" t="s">
        <v>27</v>
      </c>
      <c r="B48" s="217" t="s">
        <v>201</v>
      </c>
      <c r="C48" s="217" t="s">
        <v>320</v>
      </c>
      <c r="D48" s="60" t="s">
        <v>294</v>
      </c>
      <c r="E48" s="209">
        <v>16</v>
      </c>
      <c r="F48" s="134">
        <v>1</v>
      </c>
      <c r="G48" s="135">
        <v>1</v>
      </c>
      <c r="H48" s="136">
        <v>30</v>
      </c>
      <c r="I48" s="144">
        <v>30</v>
      </c>
      <c r="J48" s="136">
        <v>15</v>
      </c>
      <c r="K48" s="144">
        <v>15</v>
      </c>
      <c r="L48" s="136"/>
      <c r="M48" s="144"/>
      <c r="N48" s="136"/>
      <c r="O48" s="142"/>
      <c r="P48" s="142"/>
      <c r="Q48" s="142"/>
      <c r="R48" s="142"/>
      <c r="S48" s="144"/>
      <c r="T48" s="136">
        <f t="shared" si="0"/>
        <v>45</v>
      </c>
      <c r="U48" s="144">
        <v>4</v>
      </c>
    </row>
    <row r="49" spans="1:21" ht="51">
      <c r="A49" s="218" t="s">
        <v>27</v>
      </c>
      <c r="B49" s="217" t="s">
        <v>201</v>
      </c>
      <c r="C49" s="217" t="s">
        <v>321</v>
      </c>
      <c r="D49" s="60" t="s">
        <v>294</v>
      </c>
      <c r="E49" s="209">
        <v>16</v>
      </c>
      <c r="F49" s="134">
        <v>1</v>
      </c>
      <c r="G49" s="135">
        <v>1</v>
      </c>
      <c r="H49" s="136">
        <v>30</v>
      </c>
      <c r="I49" s="144">
        <v>30</v>
      </c>
      <c r="J49" s="136">
        <v>15</v>
      </c>
      <c r="K49" s="144">
        <v>15</v>
      </c>
      <c r="L49" s="136"/>
      <c r="M49" s="144"/>
      <c r="N49" s="136"/>
      <c r="O49" s="142"/>
      <c r="P49" s="142"/>
      <c r="Q49" s="142"/>
      <c r="R49" s="142"/>
      <c r="S49" s="144"/>
      <c r="T49" s="136">
        <f t="shared" si="0"/>
        <v>45</v>
      </c>
      <c r="U49" s="144">
        <v>4</v>
      </c>
    </row>
    <row r="50" spans="1:21">
      <c r="A50" s="218" t="s">
        <v>27</v>
      </c>
      <c r="B50" s="217" t="s">
        <v>322</v>
      </c>
      <c r="C50" s="220" t="s">
        <v>323</v>
      </c>
      <c r="D50" s="60" t="s">
        <v>290</v>
      </c>
      <c r="E50" s="209">
        <v>25</v>
      </c>
      <c r="F50" s="134">
        <v>1</v>
      </c>
      <c r="G50" s="135">
        <v>1</v>
      </c>
      <c r="H50" s="136">
        <v>30</v>
      </c>
      <c r="I50" s="144">
        <v>30</v>
      </c>
      <c r="J50" s="136">
        <v>30</v>
      </c>
      <c r="K50" s="144">
        <v>30</v>
      </c>
      <c r="L50" s="136"/>
      <c r="M50" s="144"/>
      <c r="N50" s="136"/>
      <c r="O50" s="142"/>
      <c r="P50" s="142"/>
      <c r="Q50" s="142"/>
      <c r="R50" s="142"/>
      <c r="S50" s="144"/>
      <c r="T50" s="136">
        <f t="shared" si="0"/>
        <v>60</v>
      </c>
      <c r="U50" s="144">
        <v>5</v>
      </c>
    </row>
    <row r="51" spans="1:21" ht="51">
      <c r="A51" s="218" t="s">
        <v>27</v>
      </c>
      <c r="B51" s="217" t="s">
        <v>322</v>
      </c>
      <c r="C51" s="220" t="s">
        <v>324</v>
      </c>
      <c r="D51" s="60" t="s">
        <v>290</v>
      </c>
      <c r="E51" s="209">
        <v>25</v>
      </c>
      <c r="F51" s="134">
        <v>1</v>
      </c>
      <c r="G51" s="135">
        <v>1</v>
      </c>
      <c r="H51" s="136">
        <v>30</v>
      </c>
      <c r="I51" s="144">
        <v>30</v>
      </c>
      <c r="J51" s="136">
        <v>30</v>
      </c>
      <c r="K51" s="144">
        <v>30</v>
      </c>
      <c r="L51" s="136"/>
      <c r="M51" s="144"/>
      <c r="N51" s="136"/>
      <c r="O51" s="142"/>
      <c r="P51" s="142"/>
      <c r="Q51" s="142"/>
      <c r="R51" s="142"/>
      <c r="S51" s="144"/>
      <c r="T51" s="136">
        <f t="shared" si="0"/>
        <v>60</v>
      </c>
      <c r="U51" s="144">
        <v>6</v>
      </c>
    </row>
    <row r="52" spans="1:21" ht="51">
      <c r="A52" s="218" t="s">
        <v>27</v>
      </c>
      <c r="B52" s="217" t="s">
        <v>322</v>
      </c>
      <c r="C52" s="217" t="s">
        <v>325</v>
      </c>
      <c r="D52" s="60" t="s">
        <v>290</v>
      </c>
      <c r="E52" s="209">
        <v>25</v>
      </c>
      <c r="F52" s="134">
        <v>1</v>
      </c>
      <c r="G52" s="135">
        <v>1</v>
      </c>
      <c r="H52" s="136">
        <v>30</v>
      </c>
      <c r="I52" s="144">
        <v>30</v>
      </c>
      <c r="J52" s="136">
        <v>30</v>
      </c>
      <c r="K52" s="144">
        <v>30</v>
      </c>
      <c r="L52" s="136"/>
      <c r="M52" s="144"/>
      <c r="N52" s="136"/>
      <c r="O52" s="142"/>
      <c r="P52" s="142"/>
      <c r="Q52" s="142"/>
      <c r="R52" s="142"/>
      <c r="S52" s="144"/>
      <c r="T52" s="136">
        <f t="shared" si="0"/>
        <v>60</v>
      </c>
      <c r="U52" s="144">
        <v>5</v>
      </c>
    </row>
    <row r="53" spans="1:21" ht="51">
      <c r="A53" s="218" t="s">
        <v>27</v>
      </c>
      <c r="B53" s="217" t="s">
        <v>322</v>
      </c>
      <c r="C53" s="217" t="s">
        <v>326</v>
      </c>
      <c r="D53" s="60" t="s">
        <v>290</v>
      </c>
      <c r="E53" s="209">
        <v>25</v>
      </c>
      <c r="F53" s="134">
        <v>1</v>
      </c>
      <c r="G53" s="135">
        <v>1</v>
      </c>
      <c r="H53" s="136">
        <v>30</v>
      </c>
      <c r="I53" s="144">
        <v>30</v>
      </c>
      <c r="J53" s="136">
        <v>30</v>
      </c>
      <c r="K53" s="144">
        <v>30</v>
      </c>
      <c r="L53" s="136"/>
      <c r="M53" s="144"/>
      <c r="N53" s="136"/>
      <c r="O53" s="142"/>
      <c r="P53" s="142"/>
      <c r="Q53" s="142"/>
      <c r="R53" s="142"/>
      <c r="S53" s="144"/>
      <c r="T53" s="136">
        <f t="shared" si="0"/>
        <v>60</v>
      </c>
      <c r="U53" s="144">
        <v>5</v>
      </c>
    </row>
    <row r="54" spans="1:21" ht="51">
      <c r="A54" s="218" t="s">
        <v>27</v>
      </c>
      <c r="B54" s="217" t="s">
        <v>322</v>
      </c>
      <c r="C54" s="217" t="s">
        <v>327</v>
      </c>
      <c r="D54" s="60" t="s">
        <v>290</v>
      </c>
      <c r="E54" s="209">
        <v>25</v>
      </c>
      <c r="F54" s="134">
        <v>1</v>
      </c>
      <c r="G54" s="135">
        <v>1</v>
      </c>
      <c r="H54" s="136">
        <v>30</v>
      </c>
      <c r="I54" s="144">
        <v>30</v>
      </c>
      <c r="J54" s="136">
        <v>15</v>
      </c>
      <c r="K54" s="144">
        <v>15</v>
      </c>
      <c r="L54" s="136"/>
      <c r="M54" s="144"/>
      <c r="N54" s="136"/>
      <c r="O54" s="142"/>
      <c r="P54" s="142"/>
      <c r="Q54" s="142"/>
      <c r="R54" s="142"/>
      <c r="S54" s="144"/>
      <c r="T54" s="136">
        <f t="shared" si="0"/>
        <v>45</v>
      </c>
      <c r="U54" s="144">
        <v>4</v>
      </c>
    </row>
    <row r="55" spans="1:21">
      <c r="A55" s="218" t="s">
        <v>27</v>
      </c>
      <c r="B55" s="217" t="s">
        <v>328</v>
      </c>
      <c r="C55" s="220" t="s">
        <v>323</v>
      </c>
      <c r="D55" s="60" t="s">
        <v>290</v>
      </c>
      <c r="E55" s="209">
        <v>21</v>
      </c>
      <c r="F55" s="134">
        <v>1</v>
      </c>
      <c r="G55" s="135">
        <v>1</v>
      </c>
      <c r="H55" s="136">
        <v>30</v>
      </c>
      <c r="I55" s="144">
        <v>30</v>
      </c>
      <c r="J55" s="136">
        <v>30</v>
      </c>
      <c r="K55" s="144">
        <v>30</v>
      </c>
      <c r="L55" s="136"/>
      <c r="M55" s="144"/>
      <c r="N55" s="136"/>
      <c r="O55" s="142"/>
      <c r="P55" s="142"/>
      <c r="Q55" s="142"/>
      <c r="R55" s="142"/>
      <c r="S55" s="144"/>
      <c r="T55" s="136">
        <f t="shared" si="0"/>
        <v>60</v>
      </c>
      <c r="U55" s="144">
        <v>5</v>
      </c>
    </row>
    <row r="56" spans="1:21" ht="51">
      <c r="A56" s="218" t="s">
        <v>27</v>
      </c>
      <c r="B56" s="217" t="s">
        <v>328</v>
      </c>
      <c r="C56" s="220" t="s">
        <v>324</v>
      </c>
      <c r="D56" s="60" t="s">
        <v>290</v>
      </c>
      <c r="E56" s="209">
        <v>21</v>
      </c>
      <c r="F56" s="134">
        <v>1</v>
      </c>
      <c r="G56" s="135">
        <v>1</v>
      </c>
      <c r="H56" s="136">
        <v>30</v>
      </c>
      <c r="I56" s="144">
        <v>30</v>
      </c>
      <c r="J56" s="136">
        <v>30</v>
      </c>
      <c r="K56" s="144">
        <v>30</v>
      </c>
      <c r="L56" s="136"/>
      <c r="M56" s="144"/>
      <c r="N56" s="136"/>
      <c r="O56" s="142"/>
      <c r="P56" s="142"/>
      <c r="Q56" s="142"/>
      <c r="R56" s="142"/>
      <c r="S56" s="144"/>
      <c r="T56" s="136">
        <f t="shared" si="0"/>
        <v>60</v>
      </c>
      <c r="U56" s="144">
        <v>6</v>
      </c>
    </row>
    <row r="57" spans="1:21" ht="51">
      <c r="A57" s="218" t="s">
        <v>27</v>
      </c>
      <c r="B57" s="217" t="s">
        <v>328</v>
      </c>
      <c r="C57" s="217" t="s">
        <v>325</v>
      </c>
      <c r="D57" s="60" t="s">
        <v>290</v>
      </c>
      <c r="E57" s="209">
        <v>21</v>
      </c>
      <c r="F57" s="134">
        <v>1</v>
      </c>
      <c r="G57" s="135">
        <v>1</v>
      </c>
      <c r="H57" s="136">
        <v>30</v>
      </c>
      <c r="I57" s="144">
        <v>30</v>
      </c>
      <c r="J57" s="136">
        <v>30</v>
      </c>
      <c r="K57" s="144">
        <v>30</v>
      </c>
      <c r="L57" s="136"/>
      <c r="M57" s="144"/>
      <c r="N57" s="136"/>
      <c r="O57" s="142"/>
      <c r="P57" s="142"/>
      <c r="Q57" s="142"/>
      <c r="R57" s="142"/>
      <c r="S57" s="144"/>
      <c r="T57" s="136">
        <f t="shared" si="0"/>
        <v>60</v>
      </c>
      <c r="U57" s="144">
        <v>5</v>
      </c>
    </row>
    <row r="58" spans="1:21" ht="51">
      <c r="A58" s="218" t="s">
        <v>27</v>
      </c>
      <c r="B58" s="217" t="s">
        <v>328</v>
      </c>
      <c r="C58" s="217" t="s">
        <v>326</v>
      </c>
      <c r="D58" s="60" t="s">
        <v>290</v>
      </c>
      <c r="E58" s="209">
        <v>21</v>
      </c>
      <c r="F58" s="134">
        <v>1</v>
      </c>
      <c r="G58" s="135">
        <v>1</v>
      </c>
      <c r="H58" s="136">
        <v>30</v>
      </c>
      <c r="I58" s="136">
        <v>30</v>
      </c>
      <c r="J58" s="136">
        <v>30</v>
      </c>
      <c r="K58" s="136">
        <v>30</v>
      </c>
      <c r="L58" s="136"/>
      <c r="M58" s="144"/>
      <c r="N58" s="136"/>
      <c r="O58" s="142"/>
      <c r="P58" s="142"/>
      <c r="Q58" s="142"/>
      <c r="R58" s="142"/>
      <c r="S58" s="144"/>
      <c r="T58" s="136">
        <f t="shared" si="0"/>
        <v>60</v>
      </c>
      <c r="U58" s="144">
        <v>5</v>
      </c>
    </row>
    <row r="59" spans="1:21" ht="51">
      <c r="A59" s="218" t="s">
        <v>27</v>
      </c>
      <c r="B59" s="217" t="s">
        <v>328</v>
      </c>
      <c r="C59" s="217" t="s">
        <v>329</v>
      </c>
      <c r="D59" s="60" t="s">
        <v>290</v>
      </c>
      <c r="E59" s="209">
        <v>21</v>
      </c>
      <c r="F59" s="134">
        <v>1</v>
      </c>
      <c r="G59" s="135">
        <v>1</v>
      </c>
      <c r="H59" s="136">
        <v>30</v>
      </c>
      <c r="I59" s="136">
        <v>30</v>
      </c>
      <c r="J59" s="136">
        <v>15</v>
      </c>
      <c r="K59" s="136">
        <v>15</v>
      </c>
      <c r="L59" s="136" t="s">
        <v>76</v>
      </c>
      <c r="M59" s="144"/>
      <c r="N59" s="136"/>
      <c r="O59" s="142"/>
      <c r="P59" s="142"/>
      <c r="Q59" s="142"/>
      <c r="R59" s="142"/>
      <c r="S59" s="144"/>
      <c r="T59" s="136">
        <f t="shared" si="0"/>
        <v>45</v>
      </c>
      <c r="U59" s="144">
        <v>4</v>
      </c>
    </row>
    <row r="60" spans="1:21">
      <c r="A60" s="218" t="s">
        <v>27</v>
      </c>
      <c r="B60" s="217" t="s">
        <v>31</v>
      </c>
      <c r="C60" s="217" t="s">
        <v>330</v>
      </c>
      <c r="D60" s="60" t="s">
        <v>294</v>
      </c>
      <c r="E60" s="209">
        <v>15</v>
      </c>
      <c r="F60" s="134">
        <v>1</v>
      </c>
      <c r="G60" s="135">
        <v>1</v>
      </c>
      <c r="H60" s="136">
        <v>45</v>
      </c>
      <c r="I60" s="136">
        <v>45</v>
      </c>
      <c r="J60" s="136">
        <v>30</v>
      </c>
      <c r="K60" s="144">
        <v>30</v>
      </c>
      <c r="L60" s="136"/>
      <c r="M60" s="144"/>
      <c r="N60" s="136"/>
      <c r="O60" s="142"/>
      <c r="P60" s="142"/>
      <c r="Q60" s="142"/>
      <c r="R60" s="142"/>
      <c r="S60" s="144"/>
      <c r="T60" s="136">
        <f t="shared" si="0"/>
        <v>75</v>
      </c>
      <c r="U60" s="144">
        <v>6</v>
      </c>
    </row>
    <row r="61" spans="1:21">
      <c r="A61" s="218" t="s">
        <v>27</v>
      </c>
      <c r="B61" s="217" t="s">
        <v>31</v>
      </c>
      <c r="C61" s="217" t="s">
        <v>331</v>
      </c>
      <c r="D61" s="60" t="s">
        <v>294</v>
      </c>
      <c r="E61" s="209">
        <v>15</v>
      </c>
      <c r="F61" s="134">
        <v>1</v>
      </c>
      <c r="G61" s="135">
        <v>1</v>
      </c>
      <c r="H61" s="136">
        <v>30</v>
      </c>
      <c r="I61" s="136">
        <v>30</v>
      </c>
      <c r="J61" s="136">
        <v>15</v>
      </c>
      <c r="K61" s="144">
        <v>15</v>
      </c>
      <c r="L61" s="136"/>
      <c r="M61" s="144"/>
      <c r="N61" s="136"/>
      <c r="O61" s="142"/>
      <c r="P61" s="142"/>
      <c r="Q61" s="142"/>
      <c r="R61" s="142"/>
      <c r="S61" s="144"/>
      <c r="T61" s="136">
        <f t="shared" si="0"/>
        <v>45</v>
      </c>
      <c r="U61" s="144">
        <v>5</v>
      </c>
    </row>
    <row r="62" spans="1:21">
      <c r="A62" s="218" t="s">
        <v>27</v>
      </c>
      <c r="B62" s="217" t="s">
        <v>33</v>
      </c>
      <c r="C62" s="217" t="s">
        <v>330</v>
      </c>
      <c r="D62" s="60" t="s">
        <v>294</v>
      </c>
      <c r="E62" s="209">
        <v>7</v>
      </c>
      <c r="F62" s="134">
        <v>1</v>
      </c>
      <c r="G62" s="135">
        <v>1</v>
      </c>
      <c r="H62" s="136">
        <v>45</v>
      </c>
      <c r="I62" s="136">
        <v>45</v>
      </c>
      <c r="J62" s="136">
        <v>30</v>
      </c>
      <c r="K62" s="144">
        <v>30</v>
      </c>
      <c r="L62" s="136"/>
      <c r="M62" s="144"/>
      <c r="N62" s="136"/>
      <c r="O62" s="142"/>
      <c r="P62" s="142"/>
      <c r="Q62" s="142"/>
      <c r="R62" s="142"/>
      <c r="S62" s="144"/>
      <c r="T62" s="136">
        <f t="shared" si="0"/>
        <v>75</v>
      </c>
      <c r="U62" s="144">
        <v>6</v>
      </c>
    </row>
    <row r="63" spans="1:21">
      <c r="A63" s="218" t="s">
        <v>27</v>
      </c>
      <c r="B63" s="217" t="s">
        <v>33</v>
      </c>
      <c r="C63" s="217" t="s">
        <v>331</v>
      </c>
      <c r="D63" s="60" t="s">
        <v>294</v>
      </c>
      <c r="E63" s="209">
        <v>7</v>
      </c>
      <c r="F63" s="134">
        <v>1</v>
      </c>
      <c r="G63" s="135">
        <v>1</v>
      </c>
      <c r="H63" s="136">
        <v>30</v>
      </c>
      <c r="I63" s="144">
        <v>30</v>
      </c>
      <c r="J63" s="136">
        <v>15</v>
      </c>
      <c r="K63" s="144">
        <v>15</v>
      </c>
      <c r="L63" s="136"/>
      <c r="M63" s="144"/>
      <c r="N63" s="136"/>
      <c r="O63" s="142"/>
      <c r="P63" s="142"/>
      <c r="Q63" s="142"/>
      <c r="R63" s="142"/>
      <c r="S63" s="144"/>
      <c r="T63" s="136">
        <f t="shared" si="0"/>
        <v>45</v>
      </c>
      <c r="U63" s="144">
        <v>5</v>
      </c>
    </row>
    <row r="64" spans="1:21">
      <c r="A64" s="218" t="s">
        <v>27</v>
      </c>
      <c r="B64" s="217" t="s">
        <v>214</v>
      </c>
      <c r="C64" s="247" t="s">
        <v>332</v>
      </c>
      <c r="D64" s="60" t="s">
        <v>216</v>
      </c>
      <c r="E64" s="209">
        <v>13</v>
      </c>
      <c r="F64" s="134">
        <v>1</v>
      </c>
      <c r="G64" s="135">
        <v>1</v>
      </c>
      <c r="H64" s="136">
        <v>30</v>
      </c>
      <c r="I64" s="144">
        <v>30</v>
      </c>
      <c r="J64" s="136">
        <v>20</v>
      </c>
      <c r="K64" s="144">
        <v>20</v>
      </c>
      <c r="L64" s="136">
        <v>10</v>
      </c>
      <c r="M64" s="144">
        <v>10</v>
      </c>
      <c r="N64" s="136"/>
      <c r="O64" s="142"/>
      <c r="P64" s="142"/>
      <c r="Q64" s="142"/>
      <c r="R64" s="142"/>
      <c r="S64" s="144"/>
      <c r="T64" s="136">
        <f t="shared" ref="T64" si="1">(I64+K64+M64+N64+O64+P64+Q64+R64+S64)</f>
        <v>60</v>
      </c>
      <c r="U64" s="144">
        <v>5</v>
      </c>
    </row>
    <row r="65" spans="1:21" ht="51">
      <c r="A65" s="218" t="s">
        <v>27</v>
      </c>
      <c r="B65" s="217" t="s">
        <v>214</v>
      </c>
      <c r="C65" s="217" t="s">
        <v>333</v>
      </c>
      <c r="D65" s="60" t="s">
        <v>216</v>
      </c>
      <c r="E65" s="209">
        <v>13</v>
      </c>
      <c r="F65" s="134">
        <v>1</v>
      </c>
      <c r="G65" s="135">
        <v>1</v>
      </c>
      <c r="H65" s="136">
        <v>30</v>
      </c>
      <c r="I65" s="144">
        <v>30</v>
      </c>
      <c r="J65" s="136">
        <v>15</v>
      </c>
      <c r="K65" s="144">
        <v>15</v>
      </c>
      <c r="L65" s="136"/>
      <c r="M65" s="144"/>
      <c r="N65" s="136"/>
      <c r="O65" s="142"/>
      <c r="P65" s="142"/>
      <c r="Q65" s="142"/>
      <c r="R65" s="142"/>
      <c r="S65" s="144"/>
      <c r="T65" s="136">
        <f t="shared" ref="T65:T84" si="2">(I65+K65+M65+N65+O65+P65+Q65+R65+S65)</f>
        <v>45</v>
      </c>
      <c r="U65" s="144">
        <v>5</v>
      </c>
    </row>
    <row r="66" spans="1:21" ht="76.5">
      <c r="A66" s="57" t="s">
        <v>27</v>
      </c>
      <c r="B66" s="27" t="s">
        <v>334</v>
      </c>
      <c r="C66" s="27" t="s">
        <v>47</v>
      </c>
      <c r="D66" s="28" t="s">
        <v>336</v>
      </c>
      <c r="E66" s="29" t="s">
        <v>794</v>
      </c>
      <c r="F66" s="30">
        <v>1</v>
      </c>
      <c r="G66" s="31">
        <v>1</v>
      </c>
      <c r="H66" s="32">
        <v>30</v>
      </c>
      <c r="I66" s="43">
        <v>30</v>
      </c>
      <c r="J66" s="32">
        <v>15</v>
      </c>
      <c r="K66" s="43">
        <v>15</v>
      </c>
      <c r="L66" s="32"/>
      <c r="M66" s="43"/>
      <c r="N66" s="32"/>
      <c r="O66" s="44"/>
      <c r="P66" s="44"/>
      <c r="Q66" s="44"/>
      <c r="R66" s="44"/>
      <c r="S66" s="43"/>
      <c r="T66" s="32">
        <f t="shared" si="2"/>
        <v>45</v>
      </c>
      <c r="U66" s="43">
        <v>6</v>
      </c>
    </row>
    <row r="67" spans="1:21" ht="51">
      <c r="A67" s="218" t="s">
        <v>27</v>
      </c>
      <c r="B67" s="217" t="s">
        <v>796</v>
      </c>
      <c r="C67" s="217" t="s">
        <v>335</v>
      </c>
      <c r="D67" s="60" t="s">
        <v>797</v>
      </c>
      <c r="E67" s="209" t="s">
        <v>798</v>
      </c>
      <c r="F67" s="134">
        <v>1</v>
      </c>
      <c r="G67" s="135">
        <v>1</v>
      </c>
      <c r="H67" s="136">
        <v>15</v>
      </c>
      <c r="I67" s="136">
        <v>15</v>
      </c>
      <c r="J67" s="136">
        <v>15</v>
      </c>
      <c r="K67" s="136">
        <v>15</v>
      </c>
      <c r="L67" s="136"/>
      <c r="M67" s="144"/>
      <c r="N67" s="136"/>
      <c r="O67" s="142"/>
      <c r="P67" s="142"/>
      <c r="Q67" s="142"/>
      <c r="R67" s="142"/>
      <c r="S67" s="144"/>
      <c r="T67" s="136">
        <f t="shared" si="2"/>
        <v>30</v>
      </c>
      <c r="U67" s="144">
        <v>4</v>
      </c>
    </row>
    <row r="68" spans="1:21" ht="25.5">
      <c r="A68" s="218" t="s">
        <v>27</v>
      </c>
      <c r="B68" s="217" t="s">
        <v>337</v>
      </c>
      <c r="C68" s="217" t="s">
        <v>338</v>
      </c>
      <c r="D68" s="60" t="s">
        <v>339</v>
      </c>
      <c r="E68" s="209">
        <v>9</v>
      </c>
      <c r="F68" s="134">
        <v>1</v>
      </c>
      <c r="G68" s="135">
        <v>1</v>
      </c>
      <c r="H68" s="136">
        <v>30</v>
      </c>
      <c r="I68" s="136">
        <v>30</v>
      </c>
      <c r="J68" s="136">
        <v>30</v>
      </c>
      <c r="K68" s="136">
        <v>30</v>
      </c>
      <c r="L68" s="136"/>
      <c r="M68" s="144"/>
      <c r="N68" s="136"/>
      <c r="O68" s="142"/>
      <c r="P68" s="142"/>
      <c r="Q68" s="142"/>
      <c r="R68" s="142"/>
      <c r="S68" s="144"/>
      <c r="T68" s="136">
        <f t="shared" si="2"/>
        <v>60</v>
      </c>
      <c r="U68" s="144">
        <v>8</v>
      </c>
    </row>
    <row r="69" spans="1:21" ht="25.5">
      <c r="A69" s="218" t="s">
        <v>27</v>
      </c>
      <c r="B69" s="217" t="s">
        <v>337</v>
      </c>
      <c r="C69" s="217" t="s">
        <v>340</v>
      </c>
      <c r="D69" s="60" t="s">
        <v>339</v>
      </c>
      <c r="E69" s="209">
        <v>9</v>
      </c>
      <c r="F69" s="134">
        <v>1</v>
      </c>
      <c r="G69" s="135">
        <v>1</v>
      </c>
      <c r="H69" s="136">
        <v>30</v>
      </c>
      <c r="I69" s="136">
        <v>30</v>
      </c>
      <c r="J69" s="136">
        <v>15</v>
      </c>
      <c r="K69" s="136">
        <v>15</v>
      </c>
      <c r="L69" s="136"/>
      <c r="M69" s="144"/>
      <c r="N69" s="136"/>
      <c r="O69" s="142"/>
      <c r="P69" s="142"/>
      <c r="Q69" s="142"/>
      <c r="R69" s="142"/>
      <c r="S69" s="144"/>
      <c r="T69" s="136">
        <f t="shared" si="2"/>
        <v>45</v>
      </c>
      <c r="U69" s="144">
        <v>6</v>
      </c>
    </row>
    <row r="70" spans="1:21" ht="51">
      <c r="A70" s="218" t="s">
        <v>27</v>
      </c>
      <c r="B70" s="217" t="s">
        <v>337</v>
      </c>
      <c r="C70" s="217" t="s">
        <v>341</v>
      </c>
      <c r="D70" s="60" t="s">
        <v>339</v>
      </c>
      <c r="E70" s="209">
        <v>9</v>
      </c>
      <c r="F70" s="134">
        <v>1</v>
      </c>
      <c r="G70" s="135">
        <v>1</v>
      </c>
      <c r="H70" s="136">
        <v>30</v>
      </c>
      <c r="I70" s="136">
        <v>30</v>
      </c>
      <c r="J70" s="136"/>
      <c r="K70" s="136"/>
      <c r="L70" s="136">
        <v>15</v>
      </c>
      <c r="M70" s="144">
        <v>15</v>
      </c>
      <c r="N70" s="136"/>
      <c r="O70" s="142"/>
      <c r="P70" s="142"/>
      <c r="Q70" s="142"/>
      <c r="R70" s="142"/>
      <c r="S70" s="144"/>
      <c r="T70" s="136">
        <f t="shared" si="2"/>
        <v>45</v>
      </c>
      <c r="U70" s="144">
        <v>6</v>
      </c>
    </row>
    <row r="71" spans="1:21" ht="25.5">
      <c r="A71" s="218" t="s">
        <v>27</v>
      </c>
      <c r="B71" s="217" t="s">
        <v>342</v>
      </c>
      <c r="C71" s="217" t="s">
        <v>343</v>
      </c>
      <c r="D71" s="60" t="s">
        <v>344</v>
      </c>
      <c r="E71" s="209">
        <v>10</v>
      </c>
      <c r="F71" s="134">
        <v>1</v>
      </c>
      <c r="G71" s="135">
        <v>1</v>
      </c>
      <c r="H71" s="136">
        <v>15</v>
      </c>
      <c r="I71" s="136">
        <v>15</v>
      </c>
      <c r="J71" s="136">
        <v>15</v>
      </c>
      <c r="K71" s="136">
        <v>15</v>
      </c>
      <c r="L71" s="136"/>
      <c r="M71" s="144"/>
      <c r="N71" s="136"/>
      <c r="O71" s="142"/>
      <c r="P71" s="142"/>
      <c r="Q71" s="142"/>
      <c r="R71" s="142"/>
      <c r="S71" s="144"/>
      <c r="T71" s="136">
        <f t="shared" si="2"/>
        <v>30</v>
      </c>
      <c r="U71" s="144">
        <v>4</v>
      </c>
    </row>
    <row r="72" spans="1:21" ht="63.75">
      <c r="A72" s="218" t="s">
        <v>27</v>
      </c>
      <c r="B72" s="217" t="s">
        <v>345</v>
      </c>
      <c r="C72" s="217" t="s">
        <v>346</v>
      </c>
      <c r="D72" s="60" t="s">
        <v>347</v>
      </c>
      <c r="E72" s="209" t="s">
        <v>35</v>
      </c>
      <c r="F72" s="134">
        <v>1</v>
      </c>
      <c r="G72" s="135">
        <v>1</v>
      </c>
      <c r="H72" s="136">
        <v>30</v>
      </c>
      <c r="I72" s="136">
        <v>30</v>
      </c>
      <c r="J72" s="136">
        <v>15</v>
      </c>
      <c r="K72" s="136">
        <v>15</v>
      </c>
      <c r="L72" s="136"/>
      <c r="M72" s="144"/>
      <c r="N72" s="136"/>
      <c r="O72" s="142"/>
      <c r="P72" s="142"/>
      <c r="Q72" s="142"/>
      <c r="R72" s="142"/>
      <c r="S72" s="144"/>
      <c r="T72" s="136">
        <f t="shared" si="2"/>
        <v>45</v>
      </c>
      <c r="U72" s="144">
        <v>6</v>
      </c>
    </row>
    <row r="73" spans="1:21" ht="51">
      <c r="A73" s="218" t="s">
        <v>27</v>
      </c>
      <c r="B73" s="217" t="s">
        <v>342</v>
      </c>
      <c r="C73" s="217" t="s">
        <v>348</v>
      </c>
      <c r="D73" s="60" t="s">
        <v>344</v>
      </c>
      <c r="E73" s="209">
        <v>10</v>
      </c>
      <c r="F73" s="134">
        <v>1</v>
      </c>
      <c r="G73" s="135">
        <v>1</v>
      </c>
      <c r="H73" s="136">
        <v>30</v>
      </c>
      <c r="I73" s="136">
        <v>30</v>
      </c>
      <c r="J73" s="136">
        <v>30</v>
      </c>
      <c r="K73" s="136">
        <v>30</v>
      </c>
      <c r="L73" s="136"/>
      <c r="M73" s="144"/>
      <c r="N73" s="136"/>
      <c r="O73" s="142"/>
      <c r="P73" s="142"/>
      <c r="Q73" s="142"/>
      <c r="R73" s="142"/>
      <c r="S73" s="144"/>
      <c r="T73" s="136">
        <f t="shared" si="2"/>
        <v>60</v>
      </c>
      <c r="U73" s="144">
        <v>8</v>
      </c>
    </row>
    <row r="74" spans="1:21" ht="63.75">
      <c r="A74" s="218" t="s">
        <v>27</v>
      </c>
      <c r="B74" s="217" t="s">
        <v>342</v>
      </c>
      <c r="C74" s="217" t="s">
        <v>349</v>
      </c>
      <c r="D74" s="60" t="s">
        <v>344</v>
      </c>
      <c r="E74" s="209">
        <v>10</v>
      </c>
      <c r="F74" s="134">
        <v>1</v>
      </c>
      <c r="G74" s="135">
        <v>1</v>
      </c>
      <c r="H74" s="136">
        <v>30</v>
      </c>
      <c r="I74" s="136">
        <v>30</v>
      </c>
      <c r="J74" s="136">
        <v>15</v>
      </c>
      <c r="K74" s="136">
        <v>15</v>
      </c>
      <c r="L74" s="136"/>
      <c r="M74" s="144"/>
      <c r="N74" s="136"/>
      <c r="O74" s="142"/>
      <c r="P74" s="142"/>
      <c r="Q74" s="142"/>
      <c r="R74" s="142"/>
      <c r="S74" s="144"/>
      <c r="T74" s="136">
        <f t="shared" si="2"/>
        <v>45</v>
      </c>
      <c r="U74" s="144">
        <v>6</v>
      </c>
    </row>
    <row r="75" spans="1:21" ht="89.25">
      <c r="A75" s="22" t="s">
        <v>27</v>
      </c>
      <c r="B75" s="19" t="s">
        <v>350</v>
      </c>
      <c r="C75" s="19" t="s">
        <v>34</v>
      </c>
      <c r="D75" s="21" t="s">
        <v>351</v>
      </c>
      <c r="E75" s="35" t="s">
        <v>352</v>
      </c>
      <c r="F75" s="23">
        <v>1</v>
      </c>
      <c r="G75" s="24">
        <v>1</v>
      </c>
      <c r="H75" s="25">
        <v>30</v>
      </c>
      <c r="I75" s="25">
        <v>30</v>
      </c>
      <c r="J75" s="25">
        <v>15</v>
      </c>
      <c r="K75" s="25">
        <v>15</v>
      </c>
      <c r="L75" s="25"/>
      <c r="M75" s="41"/>
      <c r="N75" s="25"/>
      <c r="O75" s="42"/>
      <c r="P75" s="42"/>
      <c r="Q75" s="42"/>
      <c r="R75" s="42"/>
      <c r="S75" s="41"/>
      <c r="T75" s="25">
        <f t="shared" si="2"/>
        <v>45</v>
      </c>
      <c r="U75" s="41">
        <v>6</v>
      </c>
    </row>
    <row r="76" spans="1:21" ht="51">
      <c r="A76" s="22" t="s">
        <v>27</v>
      </c>
      <c r="B76" s="19" t="s">
        <v>353</v>
      </c>
      <c r="C76" s="19" t="s">
        <v>354</v>
      </c>
      <c r="D76" s="21" t="s">
        <v>355</v>
      </c>
      <c r="E76" s="35">
        <v>10</v>
      </c>
      <c r="F76" s="23">
        <v>1</v>
      </c>
      <c r="G76" s="24">
        <v>1</v>
      </c>
      <c r="H76" s="25">
        <v>30</v>
      </c>
      <c r="I76" s="25">
        <v>30</v>
      </c>
      <c r="J76" s="25">
        <v>15</v>
      </c>
      <c r="K76" s="25">
        <v>15</v>
      </c>
      <c r="L76" s="25"/>
      <c r="M76" s="41"/>
      <c r="N76" s="25"/>
      <c r="O76" s="42"/>
      <c r="P76" s="42"/>
      <c r="Q76" s="42"/>
      <c r="R76" s="42"/>
      <c r="S76" s="41"/>
      <c r="T76" s="25">
        <f t="shared" si="2"/>
        <v>45</v>
      </c>
      <c r="U76" s="41">
        <v>6</v>
      </c>
    </row>
    <row r="77" spans="1:21" ht="51">
      <c r="A77" s="22" t="s">
        <v>27</v>
      </c>
      <c r="B77" s="19" t="s">
        <v>356</v>
      </c>
      <c r="C77" s="19" t="s">
        <v>357</v>
      </c>
      <c r="D77" s="21" t="s">
        <v>355</v>
      </c>
      <c r="E77" s="35" t="s">
        <v>352</v>
      </c>
      <c r="F77" s="23">
        <v>1</v>
      </c>
      <c r="G77" s="24">
        <v>1</v>
      </c>
      <c r="H77" s="25">
        <v>15</v>
      </c>
      <c r="I77" s="25">
        <v>15</v>
      </c>
      <c r="J77" s="25">
        <v>15</v>
      </c>
      <c r="K77" s="25">
        <v>15</v>
      </c>
      <c r="L77" s="25"/>
      <c r="M77" s="41"/>
      <c r="N77" s="25"/>
      <c r="O77" s="42"/>
      <c r="P77" s="42"/>
      <c r="Q77" s="42"/>
      <c r="R77" s="42"/>
      <c r="S77" s="41"/>
      <c r="T77" s="25">
        <f t="shared" si="2"/>
        <v>30</v>
      </c>
      <c r="U77" s="41">
        <v>4</v>
      </c>
    </row>
    <row r="78" spans="1:21" ht="51">
      <c r="A78" s="22" t="s">
        <v>27</v>
      </c>
      <c r="B78" s="19" t="s">
        <v>353</v>
      </c>
      <c r="C78" s="19" t="s">
        <v>358</v>
      </c>
      <c r="D78" s="21" t="s">
        <v>355</v>
      </c>
      <c r="E78" s="35">
        <v>10</v>
      </c>
      <c r="F78" s="23">
        <v>1</v>
      </c>
      <c r="G78" s="24">
        <v>1</v>
      </c>
      <c r="H78" s="25">
        <v>30</v>
      </c>
      <c r="I78" s="25">
        <v>30</v>
      </c>
      <c r="J78" s="25"/>
      <c r="K78" s="25"/>
      <c r="L78" s="25">
        <v>30</v>
      </c>
      <c r="M78" s="25">
        <v>30</v>
      </c>
      <c r="N78" s="25"/>
      <c r="O78" s="42"/>
      <c r="P78" s="42"/>
      <c r="Q78" s="42"/>
      <c r="R78" s="42"/>
      <c r="S78" s="41"/>
      <c r="T78" s="25">
        <f t="shared" si="2"/>
        <v>60</v>
      </c>
      <c r="U78" s="41">
        <v>8</v>
      </c>
    </row>
    <row r="79" spans="1:21" ht="51">
      <c r="A79" s="50" t="s">
        <v>27</v>
      </c>
      <c r="B79" s="51" t="s">
        <v>359</v>
      </c>
      <c r="C79" s="51" t="s">
        <v>360</v>
      </c>
      <c r="D79" s="51" t="s">
        <v>361</v>
      </c>
      <c r="E79" s="50" t="s">
        <v>362</v>
      </c>
      <c r="F79" s="23">
        <v>1</v>
      </c>
      <c r="G79" s="24">
        <v>1</v>
      </c>
      <c r="H79" s="53">
        <v>30</v>
      </c>
      <c r="I79" s="53">
        <v>30</v>
      </c>
      <c r="J79" s="53">
        <v>15</v>
      </c>
      <c r="K79" s="53">
        <v>15</v>
      </c>
      <c r="L79" s="53"/>
      <c r="M79" s="53"/>
      <c r="N79" s="53"/>
      <c r="O79" s="53"/>
      <c r="P79" s="53"/>
      <c r="Q79" s="53"/>
      <c r="R79" s="53"/>
      <c r="S79" s="53"/>
      <c r="T79" s="53">
        <f t="shared" si="2"/>
        <v>45</v>
      </c>
      <c r="U79" s="53">
        <v>6</v>
      </c>
    </row>
    <row r="80" spans="1:21" ht="38.25">
      <c r="A80" s="50" t="s">
        <v>27</v>
      </c>
      <c r="B80" s="51" t="s">
        <v>363</v>
      </c>
      <c r="C80" s="51" t="s">
        <v>364</v>
      </c>
      <c r="D80" s="51" t="s">
        <v>365</v>
      </c>
      <c r="E80" s="50">
        <v>10</v>
      </c>
      <c r="F80" s="23">
        <v>1</v>
      </c>
      <c r="G80" s="24">
        <v>1</v>
      </c>
      <c r="H80" s="53">
        <v>30</v>
      </c>
      <c r="I80" s="53">
        <v>30</v>
      </c>
      <c r="J80" s="53">
        <v>30</v>
      </c>
      <c r="K80" s="53">
        <v>30</v>
      </c>
      <c r="L80" s="53"/>
      <c r="M80" s="53"/>
      <c r="N80" s="53"/>
      <c r="O80" s="53"/>
      <c r="P80" s="53"/>
      <c r="Q80" s="53"/>
      <c r="R80" s="53"/>
      <c r="S80" s="53"/>
      <c r="T80" s="53">
        <f t="shared" si="2"/>
        <v>60</v>
      </c>
      <c r="U80" s="53">
        <v>8</v>
      </c>
    </row>
    <row r="81" spans="1:21" ht="38.25">
      <c r="A81" s="50" t="s">
        <v>27</v>
      </c>
      <c r="B81" s="51" t="s">
        <v>366</v>
      </c>
      <c r="C81" s="51" t="s">
        <v>367</v>
      </c>
      <c r="D81" s="51" t="s">
        <v>368</v>
      </c>
      <c r="E81" s="50">
        <v>10</v>
      </c>
      <c r="F81" s="23">
        <v>1</v>
      </c>
      <c r="G81" s="24">
        <v>1</v>
      </c>
      <c r="H81" s="53">
        <v>30</v>
      </c>
      <c r="I81" s="53">
        <v>30</v>
      </c>
      <c r="J81" s="53">
        <v>30</v>
      </c>
      <c r="K81" s="53">
        <v>30</v>
      </c>
      <c r="L81" s="53"/>
      <c r="M81" s="53"/>
      <c r="N81" s="53"/>
      <c r="O81" s="53"/>
      <c r="P81" s="53"/>
      <c r="Q81" s="53"/>
      <c r="R81" s="53"/>
      <c r="S81" s="53"/>
      <c r="T81" s="53">
        <f t="shared" si="2"/>
        <v>60</v>
      </c>
      <c r="U81" s="53">
        <v>8</v>
      </c>
    </row>
    <row r="82" spans="1:21" ht="25.5">
      <c r="A82" s="218" t="s">
        <v>27</v>
      </c>
      <c r="B82" s="217" t="s">
        <v>369</v>
      </c>
      <c r="C82" s="217" t="s">
        <v>370</v>
      </c>
      <c r="D82" s="60" t="s">
        <v>371</v>
      </c>
      <c r="E82" s="209">
        <v>8</v>
      </c>
      <c r="F82" s="134">
        <v>1</v>
      </c>
      <c r="G82" s="135">
        <v>1</v>
      </c>
      <c r="H82" s="136">
        <v>30</v>
      </c>
      <c r="I82" s="136">
        <v>30</v>
      </c>
      <c r="J82" s="136">
        <v>15</v>
      </c>
      <c r="K82" s="136">
        <v>15</v>
      </c>
      <c r="L82" s="136"/>
      <c r="M82" s="144"/>
      <c r="N82" s="136"/>
      <c r="O82" s="142"/>
      <c r="P82" s="142"/>
      <c r="Q82" s="142"/>
      <c r="R82" s="142"/>
      <c r="S82" s="144"/>
      <c r="T82" s="136">
        <f t="shared" si="2"/>
        <v>45</v>
      </c>
      <c r="U82" s="144">
        <v>6</v>
      </c>
    </row>
    <row r="83" spans="1:21" ht="25.5">
      <c r="A83" s="218" t="s">
        <v>27</v>
      </c>
      <c r="B83" s="217" t="s">
        <v>369</v>
      </c>
      <c r="C83" s="217" t="s">
        <v>372</v>
      </c>
      <c r="D83" s="60" t="s">
        <v>371</v>
      </c>
      <c r="E83" s="209">
        <v>8</v>
      </c>
      <c r="F83" s="134">
        <v>1</v>
      </c>
      <c r="G83" s="135">
        <v>1</v>
      </c>
      <c r="H83" s="136">
        <v>30</v>
      </c>
      <c r="I83" s="136">
        <v>30</v>
      </c>
      <c r="J83" s="136">
        <v>15</v>
      </c>
      <c r="K83" s="136">
        <v>15</v>
      </c>
      <c r="L83" s="136"/>
      <c r="M83" s="144"/>
      <c r="N83" s="136"/>
      <c r="O83" s="142"/>
      <c r="P83" s="142"/>
      <c r="Q83" s="142"/>
      <c r="R83" s="142"/>
      <c r="S83" s="144"/>
      <c r="T83" s="136">
        <f t="shared" si="2"/>
        <v>45</v>
      </c>
      <c r="U83" s="144">
        <v>6</v>
      </c>
    </row>
    <row r="84" spans="1:21" ht="51">
      <c r="A84" s="218" t="s">
        <v>27</v>
      </c>
      <c r="B84" s="217" t="s">
        <v>369</v>
      </c>
      <c r="C84" s="217" t="s">
        <v>373</v>
      </c>
      <c r="D84" s="60" t="s">
        <v>371</v>
      </c>
      <c r="E84" s="209">
        <v>8</v>
      </c>
      <c r="F84" s="134">
        <v>1</v>
      </c>
      <c r="G84" s="135">
        <v>1</v>
      </c>
      <c r="H84" s="136">
        <v>30</v>
      </c>
      <c r="I84" s="136">
        <v>30</v>
      </c>
      <c r="J84" s="136">
        <v>15</v>
      </c>
      <c r="K84" s="136">
        <v>15</v>
      </c>
      <c r="L84" s="136"/>
      <c r="M84" s="144"/>
      <c r="N84" s="136"/>
      <c r="O84" s="142"/>
      <c r="P84" s="142"/>
      <c r="Q84" s="142"/>
      <c r="R84" s="142"/>
      <c r="S84" s="144"/>
      <c r="T84" s="136">
        <f t="shared" si="2"/>
        <v>45</v>
      </c>
      <c r="U84" s="144">
        <v>6</v>
      </c>
    </row>
    <row r="85" spans="1:21" ht="38.25">
      <c r="A85" s="57" t="s">
        <v>27</v>
      </c>
      <c r="B85" s="27" t="s">
        <v>91</v>
      </c>
      <c r="C85" s="27" t="s">
        <v>374</v>
      </c>
      <c r="D85" s="26" t="s">
        <v>375</v>
      </c>
      <c r="E85" s="29">
        <v>20</v>
      </c>
      <c r="F85" s="30">
        <v>1</v>
      </c>
      <c r="G85" s="31">
        <v>1</v>
      </c>
      <c r="H85" s="32">
        <v>30</v>
      </c>
      <c r="I85" s="109">
        <v>30</v>
      </c>
      <c r="J85" s="32"/>
      <c r="K85" s="109"/>
      <c r="L85" s="32">
        <v>30</v>
      </c>
      <c r="M85" s="43">
        <v>30</v>
      </c>
      <c r="N85" s="32"/>
      <c r="O85" s="44"/>
      <c r="P85" s="44"/>
      <c r="Q85" s="44"/>
      <c r="R85" s="44"/>
      <c r="S85" s="43"/>
      <c r="T85" s="32">
        <f t="shared" ref="T85:T90" si="3">(I85+K85+M85+N85+O85+P85+Q85+R85+S85)</f>
        <v>60</v>
      </c>
      <c r="U85" s="43">
        <v>6</v>
      </c>
    </row>
    <row r="86" spans="1:21" ht="38.25">
      <c r="A86" s="57" t="s">
        <v>27</v>
      </c>
      <c r="B86" s="27" t="s">
        <v>91</v>
      </c>
      <c r="C86" s="27" t="s">
        <v>376</v>
      </c>
      <c r="D86" s="26" t="s">
        <v>375</v>
      </c>
      <c r="E86" s="29">
        <v>20</v>
      </c>
      <c r="F86" s="30">
        <v>1</v>
      </c>
      <c r="G86" s="31">
        <v>1</v>
      </c>
      <c r="H86" s="32">
        <v>30</v>
      </c>
      <c r="I86" s="109">
        <v>30</v>
      </c>
      <c r="J86" s="32"/>
      <c r="K86" s="109"/>
      <c r="L86" s="32">
        <v>30</v>
      </c>
      <c r="M86" s="43">
        <v>30</v>
      </c>
      <c r="N86" s="32"/>
      <c r="O86" s="44"/>
      <c r="P86" s="44"/>
      <c r="Q86" s="44"/>
      <c r="R86" s="44"/>
      <c r="S86" s="43"/>
      <c r="T86" s="32">
        <f t="shared" si="3"/>
        <v>60</v>
      </c>
      <c r="U86" s="43">
        <v>6</v>
      </c>
    </row>
    <row r="87" spans="1:21">
      <c r="A87" s="224" t="s">
        <v>27</v>
      </c>
      <c r="B87" s="217" t="s">
        <v>377</v>
      </c>
      <c r="C87" s="71" t="s">
        <v>378</v>
      </c>
      <c r="D87" s="216" t="s">
        <v>290</v>
      </c>
      <c r="E87" s="209">
        <v>25</v>
      </c>
      <c r="F87" s="134">
        <v>1</v>
      </c>
      <c r="G87" s="135">
        <v>1</v>
      </c>
      <c r="H87" s="136">
        <v>30</v>
      </c>
      <c r="I87" s="136">
        <v>30</v>
      </c>
      <c r="J87" s="136">
        <v>30</v>
      </c>
      <c r="K87" s="136">
        <v>30</v>
      </c>
      <c r="L87" s="136"/>
      <c r="M87" s="144"/>
      <c r="N87" s="136"/>
      <c r="O87" s="142"/>
      <c r="P87" s="142"/>
      <c r="Q87" s="142"/>
      <c r="R87" s="142"/>
      <c r="S87" s="144"/>
      <c r="T87" s="136">
        <f t="shared" si="3"/>
        <v>60</v>
      </c>
      <c r="U87" s="144">
        <v>5</v>
      </c>
    </row>
    <row r="88" spans="1:21" ht="25.5">
      <c r="A88" s="224" t="s">
        <v>27</v>
      </c>
      <c r="B88" s="217" t="s">
        <v>379</v>
      </c>
      <c r="C88" s="71" t="s">
        <v>378</v>
      </c>
      <c r="D88" s="216" t="s">
        <v>306</v>
      </c>
      <c r="E88" s="209" t="s">
        <v>380</v>
      </c>
      <c r="F88" s="134">
        <v>1</v>
      </c>
      <c r="G88" s="135">
        <v>1</v>
      </c>
      <c r="H88" s="136">
        <v>30</v>
      </c>
      <c r="I88" s="136">
        <v>30</v>
      </c>
      <c r="J88" s="136">
        <v>30</v>
      </c>
      <c r="K88" s="136">
        <v>30</v>
      </c>
      <c r="L88" s="136"/>
      <c r="M88" s="144"/>
      <c r="N88" s="136"/>
      <c r="O88" s="142"/>
      <c r="P88" s="142"/>
      <c r="Q88" s="142"/>
      <c r="R88" s="142"/>
      <c r="S88" s="144"/>
      <c r="T88" s="136">
        <f t="shared" si="3"/>
        <v>60</v>
      </c>
      <c r="U88" s="135" t="s">
        <v>381</v>
      </c>
    </row>
    <row r="89" spans="1:21">
      <c r="A89" s="87" t="s">
        <v>27</v>
      </c>
      <c r="B89" s="19" t="s">
        <v>88</v>
      </c>
      <c r="C89" s="20" t="s">
        <v>382</v>
      </c>
      <c r="D89" s="21" t="s">
        <v>294</v>
      </c>
      <c r="E89" s="35">
        <v>46</v>
      </c>
      <c r="F89" s="23">
        <v>1</v>
      </c>
      <c r="G89" s="24">
        <v>2</v>
      </c>
      <c r="H89" s="25">
        <v>45</v>
      </c>
      <c r="I89" s="25">
        <v>45</v>
      </c>
      <c r="J89" s="25">
        <v>30</v>
      </c>
      <c r="K89" s="25">
        <v>60</v>
      </c>
      <c r="L89" s="25"/>
      <c r="M89" s="41"/>
      <c r="N89" s="25"/>
      <c r="O89" s="42"/>
      <c r="P89" s="42"/>
      <c r="Q89" s="42"/>
      <c r="R89" s="42"/>
      <c r="S89" s="41"/>
      <c r="T89" s="25">
        <f t="shared" si="3"/>
        <v>105</v>
      </c>
      <c r="U89" s="41">
        <v>6</v>
      </c>
    </row>
    <row r="90" spans="1:21" ht="51">
      <c r="A90" s="87" t="s">
        <v>27</v>
      </c>
      <c r="B90" s="19" t="s">
        <v>88</v>
      </c>
      <c r="C90" s="20" t="s">
        <v>383</v>
      </c>
      <c r="D90" s="21" t="s">
        <v>294</v>
      </c>
      <c r="E90" s="35">
        <v>46</v>
      </c>
      <c r="F90" s="23">
        <v>1</v>
      </c>
      <c r="G90" s="24">
        <v>2</v>
      </c>
      <c r="H90" s="25">
        <v>45</v>
      </c>
      <c r="I90" s="66">
        <v>45</v>
      </c>
      <c r="J90" s="25">
        <v>30</v>
      </c>
      <c r="K90" s="66">
        <v>60</v>
      </c>
      <c r="L90" s="25"/>
      <c r="M90" s="41"/>
      <c r="N90" s="25"/>
      <c r="O90" s="42"/>
      <c r="P90" s="42"/>
      <c r="Q90" s="42"/>
      <c r="R90" s="42"/>
      <c r="S90" s="41"/>
      <c r="T90" s="25">
        <f t="shared" si="3"/>
        <v>105</v>
      </c>
      <c r="U90" s="41">
        <v>7</v>
      </c>
    </row>
    <row r="91" spans="1:21">
      <c r="A91" s="218" t="s">
        <v>36</v>
      </c>
      <c r="B91" s="245" t="s">
        <v>72</v>
      </c>
      <c r="C91" s="247" t="s">
        <v>384</v>
      </c>
      <c r="D91" s="60" t="s">
        <v>73</v>
      </c>
      <c r="E91" s="209">
        <v>60</v>
      </c>
      <c r="F91" s="134">
        <v>1</v>
      </c>
      <c r="G91" s="135">
        <v>2</v>
      </c>
      <c r="H91" s="136">
        <v>30</v>
      </c>
      <c r="I91" s="144">
        <v>30</v>
      </c>
      <c r="J91" s="136">
        <v>15</v>
      </c>
      <c r="K91" s="144">
        <v>30</v>
      </c>
      <c r="L91" s="136"/>
      <c r="M91" s="144"/>
      <c r="N91" s="136"/>
      <c r="O91" s="142"/>
      <c r="P91" s="142"/>
      <c r="Q91" s="142"/>
      <c r="R91" s="142"/>
      <c r="S91" s="144"/>
      <c r="T91" s="136">
        <f t="shared" ref="T91:T140" si="4">(I91+K91+M91+N91+O91+P91+Q91+R91+S91)</f>
        <v>60</v>
      </c>
      <c r="U91" s="144">
        <v>4</v>
      </c>
    </row>
    <row r="92" spans="1:21">
      <c r="A92" s="218" t="s">
        <v>36</v>
      </c>
      <c r="B92" s="217" t="s">
        <v>74</v>
      </c>
      <c r="C92" s="247" t="s">
        <v>384</v>
      </c>
      <c r="D92" s="60" t="s">
        <v>73</v>
      </c>
      <c r="E92" s="209">
        <v>20</v>
      </c>
      <c r="F92" s="134">
        <v>1</v>
      </c>
      <c r="G92" s="135">
        <v>1</v>
      </c>
      <c r="H92" s="136">
        <v>30</v>
      </c>
      <c r="I92" s="144">
        <v>30</v>
      </c>
      <c r="J92" s="136">
        <v>15</v>
      </c>
      <c r="K92" s="144">
        <v>15</v>
      </c>
      <c r="L92" s="136"/>
      <c r="M92" s="144"/>
      <c r="N92" s="136"/>
      <c r="O92" s="142"/>
      <c r="P92" s="142"/>
      <c r="Q92" s="142"/>
      <c r="R92" s="142"/>
      <c r="S92" s="144"/>
      <c r="T92" s="136">
        <f t="shared" si="4"/>
        <v>45</v>
      </c>
      <c r="U92" s="144">
        <v>4</v>
      </c>
    </row>
    <row r="93" spans="1:21">
      <c r="A93" s="218" t="s">
        <v>36</v>
      </c>
      <c r="B93" s="217" t="s">
        <v>127</v>
      </c>
      <c r="C93" s="247" t="s">
        <v>290</v>
      </c>
      <c r="D93" s="60" t="s">
        <v>81</v>
      </c>
      <c r="E93" s="209">
        <v>30</v>
      </c>
      <c r="F93" s="134">
        <v>1</v>
      </c>
      <c r="G93" s="135">
        <v>1</v>
      </c>
      <c r="H93" s="136">
        <v>30</v>
      </c>
      <c r="I93" s="144">
        <v>30</v>
      </c>
      <c r="J93" s="136">
        <v>20</v>
      </c>
      <c r="K93" s="144">
        <v>20</v>
      </c>
      <c r="L93" s="136">
        <v>10</v>
      </c>
      <c r="M93" s="144">
        <v>10</v>
      </c>
      <c r="N93" s="136"/>
      <c r="O93" s="142"/>
      <c r="P93" s="142"/>
      <c r="Q93" s="142"/>
      <c r="R93" s="142"/>
      <c r="S93" s="144"/>
      <c r="T93" s="136">
        <f t="shared" si="4"/>
        <v>60</v>
      </c>
      <c r="U93" s="144">
        <v>6</v>
      </c>
    </row>
    <row r="94" spans="1:21">
      <c r="A94" s="218" t="s">
        <v>36</v>
      </c>
      <c r="B94" s="217" t="s">
        <v>127</v>
      </c>
      <c r="C94" s="247" t="s">
        <v>385</v>
      </c>
      <c r="D94" s="60" t="s">
        <v>81</v>
      </c>
      <c r="E94" s="209">
        <v>30</v>
      </c>
      <c r="F94" s="134">
        <v>1</v>
      </c>
      <c r="G94" s="135">
        <v>1</v>
      </c>
      <c r="H94" s="136">
        <v>30</v>
      </c>
      <c r="I94" s="144">
        <v>30</v>
      </c>
      <c r="J94" s="136">
        <v>15</v>
      </c>
      <c r="K94" s="144">
        <v>15</v>
      </c>
      <c r="L94" s="136">
        <v>15</v>
      </c>
      <c r="M94" s="144">
        <v>15</v>
      </c>
      <c r="N94" s="136"/>
      <c r="O94" s="142"/>
      <c r="P94" s="142"/>
      <c r="Q94" s="142"/>
      <c r="R94" s="142"/>
      <c r="S94" s="144"/>
      <c r="T94" s="136">
        <f t="shared" si="4"/>
        <v>60</v>
      </c>
      <c r="U94" s="144">
        <v>6</v>
      </c>
    </row>
    <row r="95" spans="1:21">
      <c r="A95" s="262" t="s">
        <v>36</v>
      </c>
      <c r="B95" s="71" t="s">
        <v>135</v>
      </c>
      <c r="C95" s="227" t="s">
        <v>285</v>
      </c>
      <c r="D95" s="71" t="s">
        <v>136</v>
      </c>
      <c r="E95" s="218">
        <v>50</v>
      </c>
      <c r="F95" s="134">
        <v>1</v>
      </c>
      <c r="G95" s="135">
        <v>2</v>
      </c>
      <c r="H95" s="136">
        <v>45</v>
      </c>
      <c r="I95" s="144">
        <v>45</v>
      </c>
      <c r="J95" s="136">
        <v>20</v>
      </c>
      <c r="K95" s="144">
        <v>40</v>
      </c>
      <c r="L95" s="136">
        <v>10</v>
      </c>
      <c r="M95" s="144">
        <v>20</v>
      </c>
      <c r="N95" s="136"/>
      <c r="O95" s="142"/>
      <c r="P95" s="142"/>
      <c r="Q95" s="142"/>
      <c r="R95" s="142"/>
      <c r="S95" s="144"/>
      <c r="T95" s="136">
        <f t="shared" si="4"/>
        <v>105</v>
      </c>
      <c r="U95" s="144">
        <v>8</v>
      </c>
    </row>
    <row r="96" spans="1:21">
      <c r="A96" s="218" t="s">
        <v>36</v>
      </c>
      <c r="B96" s="240" t="s">
        <v>239</v>
      </c>
      <c r="C96" s="247" t="s">
        <v>386</v>
      </c>
      <c r="D96" s="60" t="s">
        <v>216</v>
      </c>
      <c r="E96" s="209">
        <v>20</v>
      </c>
      <c r="F96" s="134">
        <v>1</v>
      </c>
      <c r="G96" s="135">
        <v>1</v>
      </c>
      <c r="H96" s="136">
        <v>30</v>
      </c>
      <c r="I96" s="144">
        <v>30</v>
      </c>
      <c r="J96" s="136">
        <v>10</v>
      </c>
      <c r="K96" s="144">
        <v>10</v>
      </c>
      <c r="L96" s="136">
        <v>5</v>
      </c>
      <c r="M96" s="144">
        <v>5</v>
      </c>
      <c r="N96" s="136"/>
      <c r="O96" s="142"/>
      <c r="P96" s="142"/>
      <c r="Q96" s="142"/>
      <c r="R96" s="142"/>
      <c r="S96" s="144"/>
      <c r="T96" s="136">
        <f t="shared" si="4"/>
        <v>45</v>
      </c>
      <c r="U96" s="144">
        <v>5</v>
      </c>
    </row>
    <row r="97" spans="1:21">
      <c r="A97" s="218" t="s">
        <v>36</v>
      </c>
      <c r="B97" s="240" t="s">
        <v>288</v>
      </c>
      <c r="C97" s="247" t="s">
        <v>387</v>
      </c>
      <c r="D97" s="60" t="s">
        <v>290</v>
      </c>
      <c r="E97" s="209">
        <v>35</v>
      </c>
      <c r="F97" s="134">
        <v>1</v>
      </c>
      <c r="G97" s="135">
        <v>1</v>
      </c>
      <c r="H97" s="136">
        <v>30</v>
      </c>
      <c r="I97" s="144">
        <v>30</v>
      </c>
      <c r="J97" s="136"/>
      <c r="K97" s="144"/>
      <c r="L97" s="136">
        <v>30</v>
      </c>
      <c r="M97" s="144">
        <v>30</v>
      </c>
      <c r="N97" s="136"/>
      <c r="O97" s="142"/>
      <c r="P97" s="142"/>
      <c r="Q97" s="142"/>
      <c r="R97" s="142"/>
      <c r="S97" s="144"/>
      <c r="T97" s="136">
        <f t="shared" si="4"/>
        <v>60</v>
      </c>
      <c r="U97" s="144">
        <v>5</v>
      </c>
    </row>
    <row r="98" spans="1:21">
      <c r="A98" s="218" t="s">
        <v>36</v>
      </c>
      <c r="B98" s="240" t="s">
        <v>291</v>
      </c>
      <c r="C98" s="247" t="s">
        <v>387</v>
      </c>
      <c r="D98" s="60" t="s">
        <v>290</v>
      </c>
      <c r="E98" s="209">
        <v>25</v>
      </c>
      <c r="F98" s="134">
        <v>1</v>
      </c>
      <c r="G98" s="135">
        <v>1</v>
      </c>
      <c r="H98" s="136">
        <v>30</v>
      </c>
      <c r="I98" s="144">
        <v>30</v>
      </c>
      <c r="J98" s="136"/>
      <c r="K98" s="144"/>
      <c r="L98" s="136">
        <v>30</v>
      </c>
      <c r="M98" s="144">
        <v>30</v>
      </c>
      <c r="N98" s="136"/>
      <c r="O98" s="142"/>
      <c r="P98" s="142"/>
      <c r="Q98" s="142"/>
      <c r="R98" s="142"/>
      <c r="S98" s="144"/>
      <c r="T98" s="136">
        <f t="shared" si="4"/>
        <v>60</v>
      </c>
      <c r="U98" s="144">
        <v>5</v>
      </c>
    </row>
    <row r="99" spans="1:21">
      <c r="A99" s="218" t="s">
        <v>36</v>
      </c>
      <c r="B99" s="240" t="s">
        <v>288</v>
      </c>
      <c r="C99" s="247" t="s">
        <v>385</v>
      </c>
      <c r="D99" s="60" t="s">
        <v>290</v>
      </c>
      <c r="E99" s="209">
        <v>35</v>
      </c>
      <c r="F99" s="134">
        <v>1</v>
      </c>
      <c r="G99" s="135">
        <v>1</v>
      </c>
      <c r="H99" s="136">
        <v>30</v>
      </c>
      <c r="I99" s="144">
        <v>30</v>
      </c>
      <c r="J99" s="136">
        <v>10</v>
      </c>
      <c r="K99" s="144">
        <v>10</v>
      </c>
      <c r="L99" s="136">
        <v>5</v>
      </c>
      <c r="M99" s="144">
        <v>5</v>
      </c>
      <c r="N99" s="136"/>
      <c r="O99" s="142"/>
      <c r="P99" s="142"/>
      <c r="Q99" s="142"/>
      <c r="R99" s="142"/>
      <c r="S99" s="144"/>
      <c r="T99" s="136">
        <f t="shared" si="4"/>
        <v>45</v>
      </c>
      <c r="U99" s="144">
        <v>5</v>
      </c>
    </row>
    <row r="100" spans="1:21">
      <c r="A100" s="72" t="s">
        <v>36</v>
      </c>
      <c r="B100" s="240" t="s">
        <v>291</v>
      </c>
      <c r="C100" s="247" t="s">
        <v>385</v>
      </c>
      <c r="D100" s="60" t="s">
        <v>290</v>
      </c>
      <c r="E100" s="209">
        <v>25</v>
      </c>
      <c r="F100" s="134">
        <v>1</v>
      </c>
      <c r="G100" s="135">
        <v>1</v>
      </c>
      <c r="H100" s="136">
        <v>30</v>
      </c>
      <c r="I100" s="144">
        <v>30</v>
      </c>
      <c r="J100" s="136">
        <v>10</v>
      </c>
      <c r="K100" s="144">
        <v>10</v>
      </c>
      <c r="L100" s="136">
        <v>5</v>
      </c>
      <c r="M100" s="144">
        <v>5</v>
      </c>
      <c r="N100" s="136"/>
      <c r="O100" s="142"/>
      <c r="P100" s="142"/>
      <c r="Q100" s="142"/>
      <c r="R100" s="142"/>
      <c r="S100" s="144"/>
      <c r="T100" s="136">
        <f t="shared" si="4"/>
        <v>45</v>
      </c>
      <c r="U100" s="144">
        <v>5</v>
      </c>
    </row>
    <row r="101" spans="1:21">
      <c r="A101" s="218" t="s">
        <v>36</v>
      </c>
      <c r="B101" s="240" t="s">
        <v>288</v>
      </c>
      <c r="C101" s="247" t="s">
        <v>388</v>
      </c>
      <c r="D101" s="60" t="s">
        <v>290</v>
      </c>
      <c r="E101" s="209">
        <v>35</v>
      </c>
      <c r="F101" s="134">
        <v>1</v>
      </c>
      <c r="G101" s="135">
        <v>1</v>
      </c>
      <c r="H101" s="136">
        <v>30</v>
      </c>
      <c r="I101" s="144">
        <v>30</v>
      </c>
      <c r="J101" s="136"/>
      <c r="K101" s="144"/>
      <c r="L101" s="136">
        <v>30</v>
      </c>
      <c r="M101" s="144">
        <v>30</v>
      </c>
      <c r="N101" s="136"/>
      <c r="O101" s="142"/>
      <c r="P101" s="142"/>
      <c r="Q101" s="142"/>
      <c r="R101" s="142"/>
      <c r="S101" s="144"/>
      <c r="T101" s="136">
        <f t="shared" si="4"/>
        <v>60</v>
      </c>
      <c r="U101" s="144">
        <v>5</v>
      </c>
    </row>
    <row r="102" spans="1:21">
      <c r="A102" s="218" t="s">
        <v>36</v>
      </c>
      <c r="B102" s="240" t="s">
        <v>291</v>
      </c>
      <c r="C102" s="247" t="s">
        <v>388</v>
      </c>
      <c r="D102" s="60" t="s">
        <v>290</v>
      </c>
      <c r="E102" s="209">
        <v>25</v>
      </c>
      <c r="F102" s="134">
        <v>1</v>
      </c>
      <c r="G102" s="135">
        <v>1</v>
      </c>
      <c r="H102" s="136">
        <v>30</v>
      </c>
      <c r="I102" s="144">
        <v>30</v>
      </c>
      <c r="J102" s="136"/>
      <c r="K102" s="144"/>
      <c r="L102" s="136">
        <v>30</v>
      </c>
      <c r="M102" s="144">
        <v>30</v>
      </c>
      <c r="N102" s="136"/>
      <c r="O102" s="142"/>
      <c r="P102" s="142"/>
      <c r="Q102" s="142"/>
      <c r="R102" s="142"/>
      <c r="S102" s="144"/>
      <c r="T102" s="136">
        <f t="shared" si="4"/>
        <v>60</v>
      </c>
      <c r="U102" s="144">
        <v>5</v>
      </c>
    </row>
    <row r="103" spans="1:21">
      <c r="A103" s="218" t="s">
        <v>36</v>
      </c>
      <c r="B103" s="240" t="s">
        <v>288</v>
      </c>
      <c r="C103" s="247" t="s">
        <v>389</v>
      </c>
      <c r="D103" s="60" t="s">
        <v>290</v>
      </c>
      <c r="E103" s="209">
        <v>35</v>
      </c>
      <c r="F103" s="134">
        <v>1</v>
      </c>
      <c r="G103" s="135">
        <v>1</v>
      </c>
      <c r="H103" s="136">
        <v>30</v>
      </c>
      <c r="I103" s="144">
        <v>30</v>
      </c>
      <c r="J103" s="136">
        <v>30</v>
      </c>
      <c r="K103" s="144">
        <v>30</v>
      </c>
      <c r="L103" s="136"/>
      <c r="M103" s="144"/>
      <c r="N103" s="136"/>
      <c r="O103" s="142"/>
      <c r="P103" s="142"/>
      <c r="Q103" s="142"/>
      <c r="R103" s="142"/>
      <c r="S103" s="144"/>
      <c r="T103" s="136">
        <f t="shared" si="4"/>
        <v>60</v>
      </c>
      <c r="U103" s="144">
        <v>7</v>
      </c>
    </row>
    <row r="104" spans="1:21">
      <c r="A104" s="218" t="s">
        <v>36</v>
      </c>
      <c r="B104" s="240" t="s">
        <v>291</v>
      </c>
      <c r="C104" s="247" t="s">
        <v>389</v>
      </c>
      <c r="D104" s="60" t="s">
        <v>290</v>
      </c>
      <c r="E104" s="209">
        <v>25</v>
      </c>
      <c r="F104" s="134">
        <v>1</v>
      </c>
      <c r="G104" s="135">
        <v>1</v>
      </c>
      <c r="H104" s="136">
        <v>30</v>
      </c>
      <c r="I104" s="144">
        <v>30</v>
      </c>
      <c r="J104" s="136">
        <v>30</v>
      </c>
      <c r="K104" s="144">
        <v>30</v>
      </c>
      <c r="L104" s="136"/>
      <c r="M104" s="144"/>
      <c r="N104" s="136"/>
      <c r="O104" s="142"/>
      <c r="P104" s="142"/>
      <c r="Q104" s="142"/>
      <c r="R104" s="142"/>
      <c r="S104" s="144"/>
      <c r="T104" s="136">
        <f t="shared" si="4"/>
        <v>60</v>
      </c>
      <c r="U104" s="144">
        <v>7</v>
      </c>
    </row>
    <row r="105" spans="1:21" ht="25.5">
      <c r="A105" s="218" t="s">
        <v>36</v>
      </c>
      <c r="B105" s="240" t="s">
        <v>390</v>
      </c>
      <c r="C105" s="227" t="s">
        <v>391</v>
      </c>
      <c r="D105" s="71" t="s">
        <v>29</v>
      </c>
      <c r="E105" s="209">
        <v>40</v>
      </c>
      <c r="F105" s="72">
        <v>1</v>
      </c>
      <c r="G105" s="72">
        <v>1</v>
      </c>
      <c r="H105" s="140">
        <v>30</v>
      </c>
      <c r="I105" s="140">
        <v>30</v>
      </c>
      <c r="J105" s="140">
        <v>10</v>
      </c>
      <c r="K105" s="140">
        <v>10</v>
      </c>
      <c r="L105" s="140">
        <v>5</v>
      </c>
      <c r="M105" s="140">
        <v>5</v>
      </c>
      <c r="N105" s="140"/>
      <c r="O105" s="140"/>
      <c r="P105" s="140"/>
      <c r="Q105" s="140"/>
      <c r="R105" s="140"/>
      <c r="S105" s="140"/>
      <c r="T105" s="140">
        <f t="shared" si="4"/>
        <v>45</v>
      </c>
      <c r="U105" s="72">
        <v>4</v>
      </c>
    </row>
    <row r="106" spans="1:21">
      <c r="A106" s="218" t="s">
        <v>36</v>
      </c>
      <c r="B106" s="240" t="s">
        <v>292</v>
      </c>
      <c r="C106" s="247" t="s">
        <v>391</v>
      </c>
      <c r="D106" s="60" t="s">
        <v>294</v>
      </c>
      <c r="E106" s="209">
        <v>50</v>
      </c>
      <c r="F106" s="134">
        <v>1</v>
      </c>
      <c r="G106" s="135">
        <v>2</v>
      </c>
      <c r="H106" s="136">
        <v>30</v>
      </c>
      <c r="I106" s="144">
        <v>30</v>
      </c>
      <c r="J106" s="136">
        <v>10</v>
      </c>
      <c r="K106" s="144">
        <v>20</v>
      </c>
      <c r="L106" s="136">
        <v>5</v>
      </c>
      <c r="M106" s="144">
        <v>10</v>
      </c>
      <c r="N106" s="136"/>
      <c r="O106" s="142"/>
      <c r="P106" s="142"/>
      <c r="Q106" s="142"/>
      <c r="R106" s="142"/>
      <c r="S106" s="144"/>
      <c r="T106" s="136">
        <f t="shared" si="4"/>
        <v>60</v>
      </c>
      <c r="U106" s="144">
        <v>7</v>
      </c>
    </row>
    <row r="107" spans="1:21">
      <c r="A107" s="218" t="s">
        <v>36</v>
      </c>
      <c r="B107" s="240" t="s">
        <v>292</v>
      </c>
      <c r="C107" s="247" t="s">
        <v>392</v>
      </c>
      <c r="D107" s="60" t="s">
        <v>294</v>
      </c>
      <c r="E107" s="209">
        <v>50</v>
      </c>
      <c r="F107" s="134">
        <v>1</v>
      </c>
      <c r="G107" s="135">
        <v>2</v>
      </c>
      <c r="H107" s="136">
        <v>30</v>
      </c>
      <c r="I107" s="144">
        <v>30</v>
      </c>
      <c r="J107" s="136">
        <v>10</v>
      </c>
      <c r="K107" s="144">
        <v>20</v>
      </c>
      <c r="L107" s="136">
        <v>5</v>
      </c>
      <c r="M107" s="144">
        <v>10</v>
      </c>
      <c r="N107" s="136"/>
      <c r="O107" s="142"/>
      <c r="P107" s="142"/>
      <c r="Q107" s="142"/>
      <c r="R107" s="142"/>
      <c r="S107" s="144"/>
      <c r="T107" s="136">
        <f t="shared" si="4"/>
        <v>60</v>
      </c>
      <c r="U107" s="144">
        <v>5</v>
      </c>
    </row>
    <row r="108" spans="1:21">
      <c r="A108" s="218" t="s">
        <v>36</v>
      </c>
      <c r="B108" s="217" t="s">
        <v>393</v>
      </c>
      <c r="C108" s="247" t="s">
        <v>385</v>
      </c>
      <c r="D108" s="60" t="s">
        <v>80</v>
      </c>
      <c r="E108" s="209">
        <v>17</v>
      </c>
      <c r="F108" s="134">
        <v>1</v>
      </c>
      <c r="G108" s="135">
        <v>1</v>
      </c>
      <c r="H108" s="136">
        <v>30</v>
      </c>
      <c r="I108" s="144">
        <v>30</v>
      </c>
      <c r="J108" s="136">
        <v>20</v>
      </c>
      <c r="K108" s="144">
        <v>20</v>
      </c>
      <c r="L108" s="136">
        <v>10</v>
      </c>
      <c r="M108" s="144">
        <v>10</v>
      </c>
      <c r="N108" s="136"/>
      <c r="O108" s="142"/>
      <c r="P108" s="142"/>
      <c r="Q108" s="142"/>
      <c r="R108" s="142"/>
      <c r="S108" s="144"/>
      <c r="T108" s="136">
        <f t="shared" si="4"/>
        <v>60</v>
      </c>
      <c r="U108" s="144">
        <v>6</v>
      </c>
    </row>
    <row r="109" spans="1:21">
      <c r="A109" s="218" t="s">
        <v>36</v>
      </c>
      <c r="B109" s="241" t="s">
        <v>82</v>
      </c>
      <c r="C109" s="227" t="s">
        <v>391</v>
      </c>
      <c r="D109" s="71" t="s">
        <v>29</v>
      </c>
      <c r="E109" s="263">
        <v>15</v>
      </c>
      <c r="F109" s="134">
        <v>1</v>
      </c>
      <c r="G109" s="135">
        <v>1</v>
      </c>
      <c r="H109" s="136">
        <v>10</v>
      </c>
      <c r="I109" s="144">
        <v>10</v>
      </c>
      <c r="J109" s="136">
        <v>3</v>
      </c>
      <c r="K109" s="144">
        <v>3</v>
      </c>
      <c r="L109" s="136">
        <v>2</v>
      </c>
      <c r="M109" s="144">
        <v>2</v>
      </c>
      <c r="N109" s="136"/>
      <c r="O109" s="142"/>
      <c r="P109" s="142"/>
      <c r="Q109" s="142"/>
      <c r="R109" s="142"/>
      <c r="S109" s="144"/>
      <c r="T109" s="136">
        <f t="shared" si="4"/>
        <v>15</v>
      </c>
      <c r="U109" s="144">
        <v>4</v>
      </c>
    </row>
    <row r="110" spans="1:21">
      <c r="A110" s="218" t="s">
        <v>36</v>
      </c>
      <c r="B110" s="217" t="s">
        <v>87</v>
      </c>
      <c r="C110" s="247" t="s">
        <v>394</v>
      </c>
      <c r="D110" s="60" t="s">
        <v>290</v>
      </c>
      <c r="E110" s="209">
        <v>23</v>
      </c>
      <c r="F110" s="134">
        <v>1</v>
      </c>
      <c r="G110" s="135">
        <v>1</v>
      </c>
      <c r="H110" s="136">
        <v>30</v>
      </c>
      <c r="I110" s="136">
        <v>30</v>
      </c>
      <c r="J110" s="136"/>
      <c r="K110" s="136"/>
      <c r="L110" s="136">
        <v>30</v>
      </c>
      <c r="M110" s="136">
        <v>30</v>
      </c>
      <c r="N110" s="136"/>
      <c r="O110" s="142"/>
      <c r="P110" s="142"/>
      <c r="Q110" s="142"/>
      <c r="R110" s="142"/>
      <c r="S110" s="144"/>
      <c r="T110" s="136">
        <f t="shared" si="4"/>
        <v>60</v>
      </c>
      <c r="U110" s="144">
        <v>5</v>
      </c>
    </row>
    <row r="111" spans="1:21">
      <c r="A111" s="218" t="s">
        <v>36</v>
      </c>
      <c r="B111" s="217" t="s">
        <v>87</v>
      </c>
      <c r="C111" s="247" t="s">
        <v>395</v>
      </c>
      <c r="D111" s="60" t="s">
        <v>290</v>
      </c>
      <c r="E111" s="209">
        <v>23</v>
      </c>
      <c r="F111" s="134">
        <v>1</v>
      </c>
      <c r="G111" s="135">
        <v>1</v>
      </c>
      <c r="H111" s="136">
        <v>30</v>
      </c>
      <c r="I111" s="136">
        <v>30</v>
      </c>
      <c r="J111" s="136">
        <v>30</v>
      </c>
      <c r="K111" s="136">
        <v>30</v>
      </c>
      <c r="L111" s="136"/>
      <c r="M111" s="136"/>
      <c r="N111" s="136"/>
      <c r="O111" s="142"/>
      <c r="P111" s="142"/>
      <c r="Q111" s="142"/>
      <c r="R111" s="142"/>
      <c r="S111" s="144"/>
      <c r="T111" s="136">
        <f t="shared" si="4"/>
        <v>60</v>
      </c>
      <c r="U111" s="144">
        <v>5</v>
      </c>
    </row>
    <row r="112" spans="1:21">
      <c r="A112" s="218" t="s">
        <v>36</v>
      </c>
      <c r="B112" s="217" t="s">
        <v>87</v>
      </c>
      <c r="C112" s="247" t="s">
        <v>396</v>
      </c>
      <c r="D112" s="60" t="s">
        <v>290</v>
      </c>
      <c r="E112" s="209">
        <v>23</v>
      </c>
      <c r="F112" s="134">
        <v>1</v>
      </c>
      <c r="G112" s="135">
        <v>1</v>
      </c>
      <c r="H112" s="136">
        <v>45</v>
      </c>
      <c r="I112" s="136">
        <v>45</v>
      </c>
      <c r="J112" s="136"/>
      <c r="K112" s="136"/>
      <c r="L112" s="136">
        <v>30</v>
      </c>
      <c r="M112" s="136">
        <v>30</v>
      </c>
      <c r="N112" s="136"/>
      <c r="O112" s="142"/>
      <c r="P112" s="142"/>
      <c r="Q112" s="142"/>
      <c r="R112" s="142"/>
      <c r="S112" s="144"/>
      <c r="T112" s="136">
        <f t="shared" si="4"/>
        <v>75</v>
      </c>
      <c r="U112" s="144">
        <v>7</v>
      </c>
    </row>
    <row r="113" spans="1:21">
      <c r="A113" s="218" t="s">
        <v>36</v>
      </c>
      <c r="B113" s="217" t="s">
        <v>86</v>
      </c>
      <c r="C113" s="247" t="s">
        <v>394</v>
      </c>
      <c r="D113" s="60" t="s">
        <v>290</v>
      </c>
      <c r="E113" s="209">
        <v>22</v>
      </c>
      <c r="F113" s="134">
        <v>1</v>
      </c>
      <c r="G113" s="135">
        <v>1</v>
      </c>
      <c r="H113" s="136">
        <v>30</v>
      </c>
      <c r="I113" s="136">
        <v>30</v>
      </c>
      <c r="J113" s="136"/>
      <c r="K113" s="136"/>
      <c r="L113" s="136">
        <v>30</v>
      </c>
      <c r="M113" s="136">
        <v>30</v>
      </c>
      <c r="N113" s="136"/>
      <c r="O113" s="142"/>
      <c r="P113" s="142"/>
      <c r="Q113" s="142"/>
      <c r="R113" s="142"/>
      <c r="S113" s="144"/>
      <c r="T113" s="136">
        <f t="shared" si="4"/>
        <v>60</v>
      </c>
      <c r="U113" s="144">
        <v>5</v>
      </c>
    </row>
    <row r="114" spans="1:21">
      <c r="A114" s="218" t="s">
        <v>36</v>
      </c>
      <c r="B114" s="217" t="s">
        <v>86</v>
      </c>
      <c r="C114" s="247" t="s">
        <v>395</v>
      </c>
      <c r="D114" s="60" t="s">
        <v>290</v>
      </c>
      <c r="E114" s="209">
        <v>22</v>
      </c>
      <c r="F114" s="134">
        <v>1</v>
      </c>
      <c r="G114" s="135">
        <v>1</v>
      </c>
      <c r="H114" s="136">
        <v>30</v>
      </c>
      <c r="I114" s="136">
        <v>30</v>
      </c>
      <c r="J114" s="136">
        <v>30</v>
      </c>
      <c r="K114" s="136">
        <v>30</v>
      </c>
      <c r="L114" s="136"/>
      <c r="M114" s="136"/>
      <c r="N114" s="222"/>
      <c r="O114" s="140"/>
      <c r="P114" s="140"/>
      <c r="Q114" s="140"/>
      <c r="R114" s="140"/>
      <c r="S114" s="223"/>
      <c r="T114" s="136">
        <f t="shared" si="4"/>
        <v>60</v>
      </c>
      <c r="U114" s="223">
        <v>5</v>
      </c>
    </row>
    <row r="115" spans="1:21">
      <c r="A115" s="218" t="s">
        <v>36</v>
      </c>
      <c r="B115" s="217" t="s">
        <v>86</v>
      </c>
      <c r="C115" s="247" t="s">
        <v>396</v>
      </c>
      <c r="D115" s="60" t="s">
        <v>290</v>
      </c>
      <c r="E115" s="209">
        <v>22</v>
      </c>
      <c r="F115" s="134">
        <v>1</v>
      </c>
      <c r="G115" s="135">
        <v>1</v>
      </c>
      <c r="H115" s="136">
        <v>45</v>
      </c>
      <c r="I115" s="136">
        <v>45</v>
      </c>
      <c r="J115" s="136"/>
      <c r="K115" s="136"/>
      <c r="L115" s="136">
        <v>30</v>
      </c>
      <c r="M115" s="136">
        <v>30</v>
      </c>
      <c r="N115" s="222"/>
      <c r="O115" s="140"/>
      <c r="P115" s="140"/>
      <c r="Q115" s="140"/>
      <c r="R115" s="140"/>
      <c r="S115" s="223"/>
      <c r="T115" s="136">
        <f t="shared" si="4"/>
        <v>75</v>
      </c>
      <c r="U115" s="223">
        <v>7</v>
      </c>
    </row>
    <row r="116" spans="1:21">
      <c r="A116" s="218" t="s">
        <v>36</v>
      </c>
      <c r="B116" s="217" t="s">
        <v>302</v>
      </c>
      <c r="C116" s="247" t="s">
        <v>397</v>
      </c>
      <c r="D116" s="60" t="s">
        <v>290</v>
      </c>
      <c r="E116" s="209">
        <v>28</v>
      </c>
      <c r="F116" s="134">
        <v>1</v>
      </c>
      <c r="G116" s="135">
        <v>1</v>
      </c>
      <c r="H116" s="136">
        <v>30</v>
      </c>
      <c r="I116" s="136">
        <v>30</v>
      </c>
      <c r="J116" s="136">
        <v>30</v>
      </c>
      <c r="K116" s="136">
        <v>30</v>
      </c>
      <c r="L116" s="136"/>
      <c r="M116" s="136"/>
      <c r="N116" s="222"/>
      <c r="O116" s="140"/>
      <c r="P116" s="140"/>
      <c r="Q116" s="140"/>
      <c r="R116" s="140"/>
      <c r="S116" s="223"/>
      <c r="T116" s="136">
        <f t="shared" si="4"/>
        <v>60</v>
      </c>
      <c r="U116" s="223">
        <v>5</v>
      </c>
    </row>
    <row r="117" spans="1:21">
      <c r="A117" s="218" t="s">
        <v>36</v>
      </c>
      <c r="B117" s="217" t="s">
        <v>302</v>
      </c>
      <c r="C117" s="217" t="s">
        <v>398</v>
      </c>
      <c r="D117" s="60" t="s">
        <v>290</v>
      </c>
      <c r="E117" s="209">
        <v>28</v>
      </c>
      <c r="F117" s="134">
        <v>1</v>
      </c>
      <c r="G117" s="135">
        <v>1</v>
      </c>
      <c r="H117" s="136">
        <v>30</v>
      </c>
      <c r="I117" s="136">
        <v>30</v>
      </c>
      <c r="J117" s="136">
        <v>30</v>
      </c>
      <c r="K117" s="136">
        <v>30</v>
      </c>
      <c r="L117" s="136"/>
      <c r="M117" s="136"/>
      <c r="N117" s="222"/>
      <c r="O117" s="140"/>
      <c r="P117" s="140"/>
      <c r="Q117" s="140"/>
      <c r="R117" s="140"/>
      <c r="S117" s="223"/>
      <c r="T117" s="136">
        <f t="shared" si="4"/>
        <v>60</v>
      </c>
      <c r="U117" s="223">
        <v>5</v>
      </c>
    </row>
    <row r="118" spans="1:21">
      <c r="A118" s="218" t="s">
        <v>36</v>
      </c>
      <c r="B118" s="217" t="s">
        <v>302</v>
      </c>
      <c r="C118" s="217" t="s">
        <v>399</v>
      </c>
      <c r="D118" s="60" t="s">
        <v>290</v>
      </c>
      <c r="E118" s="209">
        <v>28</v>
      </c>
      <c r="F118" s="134">
        <v>1</v>
      </c>
      <c r="G118" s="135">
        <v>1</v>
      </c>
      <c r="H118" s="136">
        <v>45</v>
      </c>
      <c r="I118" s="136">
        <v>45</v>
      </c>
      <c r="J118" s="136">
        <v>30</v>
      </c>
      <c r="K118" s="136">
        <v>30</v>
      </c>
      <c r="L118" s="136"/>
      <c r="M118" s="136"/>
      <c r="N118" s="222"/>
      <c r="O118" s="140"/>
      <c r="P118" s="140"/>
      <c r="Q118" s="140"/>
      <c r="R118" s="140"/>
      <c r="S118" s="223"/>
      <c r="T118" s="136">
        <f t="shared" si="4"/>
        <v>75</v>
      </c>
      <c r="U118" s="223">
        <v>7</v>
      </c>
    </row>
    <row r="119" spans="1:21" ht="51">
      <c r="A119" s="218" t="s">
        <v>36</v>
      </c>
      <c r="B119" s="217" t="s">
        <v>302</v>
      </c>
      <c r="C119" s="217" t="s">
        <v>400</v>
      </c>
      <c r="D119" s="60" t="s">
        <v>290</v>
      </c>
      <c r="E119" s="209">
        <v>28</v>
      </c>
      <c r="F119" s="134">
        <v>1</v>
      </c>
      <c r="G119" s="135">
        <v>1</v>
      </c>
      <c r="H119" s="136">
        <v>30</v>
      </c>
      <c r="I119" s="136">
        <v>30</v>
      </c>
      <c r="J119" s="136">
        <v>15</v>
      </c>
      <c r="K119" s="136">
        <v>15</v>
      </c>
      <c r="L119" s="136"/>
      <c r="M119" s="136"/>
      <c r="N119" s="222"/>
      <c r="O119" s="140"/>
      <c r="P119" s="140"/>
      <c r="Q119" s="140"/>
      <c r="R119" s="140"/>
      <c r="S119" s="223"/>
      <c r="T119" s="136">
        <f t="shared" si="4"/>
        <v>45</v>
      </c>
      <c r="U119" s="223">
        <v>5</v>
      </c>
    </row>
    <row r="120" spans="1:21" ht="74.25" customHeight="1">
      <c r="A120" s="218" t="s">
        <v>36</v>
      </c>
      <c r="B120" s="217" t="s">
        <v>302</v>
      </c>
      <c r="C120" s="217" t="s">
        <v>401</v>
      </c>
      <c r="D120" s="60" t="s">
        <v>290</v>
      </c>
      <c r="E120" s="209">
        <v>28</v>
      </c>
      <c r="F120" s="134">
        <v>1</v>
      </c>
      <c r="G120" s="135">
        <v>1</v>
      </c>
      <c r="H120" s="136">
        <v>30</v>
      </c>
      <c r="I120" s="136">
        <v>30</v>
      </c>
      <c r="J120" s="136">
        <v>15</v>
      </c>
      <c r="K120" s="136">
        <v>15</v>
      </c>
      <c r="L120" s="136"/>
      <c r="M120" s="136"/>
      <c r="N120" s="222"/>
      <c r="O120" s="140"/>
      <c r="P120" s="140"/>
      <c r="Q120" s="140"/>
      <c r="R120" s="140"/>
      <c r="S120" s="223"/>
      <c r="T120" s="136">
        <f t="shared" si="4"/>
        <v>45</v>
      </c>
      <c r="U120" s="223">
        <v>4</v>
      </c>
    </row>
    <row r="121" spans="1:21" ht="51">
      <c r="A121" s="218" t="s">
        <v>36</v>
      </c>
      <c r="B121" s="217" t="s">
        <v>302</v>
      </c>
      <c r="C121" s="217" t="s">
        <v>402</v>
      </c>
      <c r="D121" s="60" t="s">
        <v>290</v>
      </c>
      <c r="E121" s="209">
        <v>28</v>
      </c>
      <c r="F121" s="134">
        <v>1</v>
      </c>
      <c r="G121" s="135">
        <v>1</v>
      </c>
      <c r="H121" s="136">
        <v>30</v>
      </c>
      <c r="I121" s="136">
        <v>30</v>
      </c>
      <c r="J121" s="136">
        <v>15</v>
      </c>
      <c r="K121" s="136">
        <v>15</v>
      </c>
      <c r="L121" s="136"/>
      <c r="M121" s="136"/>
      <c r="N121" s="222"/>
      <c r="O121" s="140"/>
      <c r="P121" s="140"/>
      <c r="Q121" s="140"/>
      <c r="R121" s="140"/>
      <c r="S121" s="223"/>
      <c r="T121" s="136">
        <f t="shared" si="4"/>
        <v>45</v>
      </c>
      <c r="U121" s="223">
        <v>4</v>
      </c>
    </row>
    <row r="122" spans="1:21">
      <c r="A122" s="218" t="s">
        <v>36</v>
      </c>
      <c r="B122" s="137" t="s">
        <v>312</v>
      </c>
      <c r="C122" s="247" t="s">
        <v>397</v>
      </c>
      <c r="D122" s="60" t="s">
        <v>290</v>
      </c>
      <c r="E122" s="209">
        <v>23</v>
      </c>
      <c r="F122" s="134">
        <v>1</v>
      </c>
      <c r="G122" s="135">
        <v>1</v>
      </c>
      <c r="H122" s="136">
        <v>30</v>
      </c>
      <c r="I122" s="136">
        <v>30</v>
      </c>
      <c r="J122" s="136">
        <v>30</v>
      </c>
      <c r="K122" s="136">
        <v>30</v>
      </c>
      <c r="L122" s="222"/>
      <c r="M122" s="222"/>
      <c r="N122" s="222"/>
      <c r="O122" s="140"/>
      <c r="P122" s="140"/>
      <c r="Q122" s="140"/>
      <c r="R122" s="140"/>
      <c r="S122" s="223"/>
      <c r="T122" s="136">
        <f t="shared" si="4"/>
        <v>60</v>
      </c>
      <c r="U122" s="223">
        <v>5</v>
      </c>
    </row>
    <row r="123" spans="1:21">
      <c r="A123" s="218" t="s">
        <v>36</v>
      </c>
      <c r="B123" s="137" t="s">
        <v>312</v>
      </c>
      <c r="C123" s="217" t="s">
        <v>398</v>
      </c>
      <c r="D123" s="60" t="s">
        <v>290</v>
      </c>
      <c r="E123" s="209">
        <v>23</v>
      </c>
      <c r="F123" s="134">
        <v>1</v>
      </c>
      <c r="G123" s="135">
        <v>1</v>
      </c>
      <c r="H123" s="136">
        <v>30</v>
      </c>
      <c r="I123" s="136">
        <v>30</v>
      </c>
      <c r="J123" s="136">
        <v>30</v>
      </c>
      <c r="K123" s="136">
        <v>30</v>
      </c>
      <c r="L123" s="222"/>
      <c r="M123" s="222"/>
      <c r="N123" s="222"/>
      <c r="O123" s="140"/>
      <c r="P123" s="140"/>
      <c r="Q123" s="140"/>
      <c r="R123" s="140"/>
      <c r="S123" s="223"/>
      <c r="T123" s="136">
        <f t="shared" si="4"/>
        <v>60</v>
      </c>
      <c r="U123" s="223">
        <v>5</v>
      </c>
    </row>
    <row r="124" spans="1:21">
      <c r="A124" s="218" t="s">
        <v>36</v>
      </c>
      <c r="B124" s="137" t="s">
        <v>312</v>
      </c>
      <c r="C124" s="217" t="s">
        <v>399</v>
      </c>
      <c r="D124" s="60" t="s">
        <v>290</v>
      </c>
      <c r="E124" s="209">
        <v>23</v>
      </c>
      <c r="F124" s="134">
        <v>1</v>
      </c>
      <c r="G124" s="135">
        <v>1</v>
      </c>
      <c r="H124" s="136">
        <v>45</v>
      </c>
      <c r="I124" s="136">
        <v>45</v>
      </c>
      <c r="J124" s="136">
        <v>30</v>
      </c>
      <c r="K124" s="136">
        <v>30</v>
      </c>
      <c r="L124" s="222"/>
      <c r="M124" s="222"/>
      <c r="N124" s="222"/>
      <c r="O124" s="140"/>
      <c r="P124" s="140"/>
      <c r="Q124" s="140"/>
      <c r="R124" s="140"/>
      <c r="S124" s="223"/>
      <c r="T124" s="136">
        <f t="shared" si="4"/>
        <v>75</v>
      </c>
      <c r="U124" s="223">
        <v>7</v>
      </c>
    </row>
    <row r="125" spans="1:21" ht="51">
      <c r="A125" s="218" t="s">
        <v>36</v>
      </c>
      <c r="B125" s="137" t="s">
        <v>312</v>
      </c>
      <c r="C125" s="217" t="s">
        <v>400</v>
      </c>
      <c r="D125" s="60" t="s">
        <v>290</v>
      </c>
      <c r="E125" s="209">
        <v>23</v>
      </c>
      <c r="F125" s="134">
        <v>1</v>
      </c>
      <c r="G125" s="135">
        <v>1</v>
      </c>
      <c r="H125" s="136">
        <v>30</v>
      </c>
      <c r="I125" s="136">
        <v>30</v>
      </c>
      <c r="J125" s="136">
        <v>15</v>
      </c>
      <c r="K125" s="136">
        <v>15</v>
      </c>
      <c r="L125" s="222"/>
      <c r="M125" s="222"/>
      <c r="N125" s="222"/>
      <c r="O125" s="140"/>
      <c r="P125" s="140"/>
      <c r="Q125" s="140"/>
      <c r="R125" s="140"/>
      <c r="S125" s="223"/>
      <c r="T125" s="136">
        <f t="shared" si="4"/>
        <v>45</v>
      </c>
      <c r="U125" s="223">
        <v>5</v>
      </c>
    </row>
    <row r="126" spans="1:21" ht="66.75" customHeight="1">
      <c r="A126" s="218" t="s">
        <v>36</v>
      </c>
      <c r="B126" s="137" t="s">
        <v>312</v>
      </c>
      <c r="C126" s="217" t="s">
        <v>401</v>
      </c>
      <c r="D126" s="60" t="s">
        <v>290</v>
      </c>
      <c r="E126" s="209">
        <v>23</v>
      </c>
      <c r="F126" s="134">
        <v>1</v>
      </c>
      <c r="G126" s="135">
        <v>1</v>
      </c>
      <c r="H126" s="136">
        <v>30</v>
      </c>
      <c r="I126" s="136">
        <v>30</v>
      </c>
      <c r="J126" s="136">
        <v>15</v>
      </c>
      <c r="K126" s="136">
        <v>15</v>
      </c>
      <c r="L126" s="222"/>
      <c r="M126" s="222"/>
      <c r="N126" s="222"/>
      <c r="O126" s="140"/>
      <c r="P126" s="140"/>
      <c r="Q126" s="140"/>
      <c r="R126" s="140"/>
      <c r="S126" s="223"/>
      <c r="T126" s="136">
        <f t="shared" si="4"/>
        <v>45</v>
      </c>
      <c r="U126" s="223">
        <v>4</v>
      </c>
    </row>
    <row r="127" spans="1:21" ht="51">
      <c r="A127" s="218" t="s">
        <v>36</v>
      </c>
      <c r="B127" s="137" t="s">
        <v>312</v>
      </c>
      <c r="C127" s="217" t="s">
        <v>402</v>
      </c>
      <c r="D127" s="60" t="s">
        <v>290</v>
      </c>
      <c r="E127" s="209">
        <v>23</v>
      </c>
      <c r="F127" s="134">
        <v>1</v>
      </c>
      <c r="G127" s="135">
        <v>1</v>
      </c>
      <c r="H127" s="136">
        <v>30</v>
      </c>
      <c r="I127" s="136">
        <v>30</v>
      </c>
      <c r="J127" s="136">
        <v>15</v>
      </c>
      <c r="K127" s="136">
        <v>15</v>
      </c>
      <c r="L127" s="222"/>
      <c r="M127" s="222"/>
      <c r="N127" s="222"/>
      <c r="O127" s="140"/>
      <c r="P127" s="140"/>
      <c r="Q127" s="140"/>
      <c r="R127" s="140"/>
      <c r="S127" s="223"/>
      <c r="T127" s="136">
        <f t="shared" si="4"/>
        <v>45</v>
      </c>
      <c r="U127" s="223">
        <v>4</v>
      </c>
    </row>
    <row r="128" spans="1:21">
      <c r="A128" s="218" t="s">
        <v>36</v>
      </c>
      <c r="B128" s="227" t="s">
        <v>200</v>
      </c>
      <c r="C128" s="71" t="s">
        <v>403</v>
      </c>
      <c r="D128" s="250" t="s">
        <v>294</v>
      </c>
      <c r="E128" s="209">
        <v>17</v>
      </c>
      <c r="F128" s="134">
        <v>1</v>
      </c>
      <c r="G128" s="135">
        <v>1</v>
      </c>
      <c r="H128" s="222">
        <v>30</v>
      </c>
      <c r="I128" s="222">
        <v>30</v>
      </c>
      <c r="J128" s="222">
        <v>30</v>
      </c>
      <c r="K128" s="222">
        <v>30</v>
      </c>
      <c r="L128" s="222"/>
      <c r="M128" s="222"/>
      <c r="N128" s="222"/>
      <c r="O128" s="140"/>
      <c r="P128" s="140"/>
      <c r="Q128" s="140"/>
      <c r="R128" s="140"/>
      <c r="S128" s="223"/>
      <c r="T128" s="136">
        <f t="shared" si="4"/>
        <v>60</v>
      </c>
      <c r="U128" s="223">
        <v>6</v>
      </c>
    </row>
    <row r="129" spans="1:21" ht="62.25" customHeight="1">
      <c r="A129" s="218" t="s">
        <v>36</v>
      </c>
      <c r="B129" s="227" t="s">
        <v>200</v>
      </c>
      <c r="C129" s="71" t="s">
        <v>404</v>
      </c>
      <c r="D129" s="250" t="s">
        <v>294</v>
      </c>
      <c r="E129" s="209">
        <v>17</v>
      </c>
      <c r="F129" s="134">
        <v>1</v>
      </c>
      <c r="G129" s="135">
        <v>1</v>
      </c>
      <c r="H129" s="222">
        <v>30</v>
      </c>
      <c r="I129" s="222">
        <v>30</v>
      </c>
      <c r="J129" s="222">
        <v>30</v>
      </c>
      <c r="K129" s="222">
        <v>30</v>
      </c>
      <c r="L129" s="222"/>
      <c r="M129" s="222"/>
      <c r="N129" s="222"/>
      <c r="O129" s="140"/>
      <c r="P129" s="140"/>
      <c r="Q129" s="140"/>
      <c r="R129" s="140"/>
      <c r="S129" s="223"/>
      <c r="T129" s="136">
        <f t="shared" si="4"/>
        <v>60</v>
      </c>
      <c r="U129" s="223">
        <v>5</v>
      </c>
    </row>
    <row r="130" spans="1:21" ht="51" customHeight="1">
      <c r="A130" s="218" t="s">
        <v>36</v>
      </c>
      <c r="B130" s="227" t="s">
        <v>200</v>
      </c>
      <c r="C130" s="71" t="s">
        <v>405</v>
      </c>
      <c r="D130" s="250" t="s">
        <v>294</v>
      </c>
      <c r="E130" s="209">
        <v>17</v>
      </c>
      <c r="F130" s="134">
        <v>1</v>
      </c>
      <c r="G130" s="135">
        <v>1</v>
      </c>
      <c r="H130" s="222">
        <v>30</v>
      </c>
      <c r="I130" s="222">
        <v>30</v>
      </c>
      <c r="J130" s="222">
        <v>30</v>
      </c>
      <c r="K130" s="222">
        <v>30</v>
      </c>
      <c r="L130" s="222"/>
      <c r="M130" s="222"/>
      <c r="N130" s="222"/>
      <c r="O130" s="140"/>
      <c r="P130" s="140"/>
      <c r="Q130" s="140"/>
      <c r="R130" s="140"/>
      <c r="S130" s="223"/>
      <c r="T130" s="136">
        <f t="shared" si="4"/>
        <v>60</v>
      </c>
      <c r="U130" s="223">
        <v>5</v>
      </c>
    </row>
    <row r="131" spans="1:21" ht="51">
      <c r="A131" s="218" t="s">
        <v>36</v>
      </c>
      <c r="B131" s="227" t="s">
        <v>200</v>
      </c>
      <c r="C131" s="71" t="s">
        <v>406</v>
      </c>
      <c r="D131" s="250" t="s">
        <v>294</v>
      </c>
      <c r="E131" s="209">
        <v>17</v>
      </c>
      <c r="F131" s="134">
        <v>1</v>
      </c>
      <c r="G131" s="135">
        <v>1</v>
      </c>
      <c r="H131" s="222">
        <v>30</v>
      </c>
      <c r="I131" s="222">
        <v>30</v>
      </c>
      <c r="J131" s="222">
        <v>15</v>
      </c>
      <c r="K131" s="222">
        <v>15</v>
      </c>
      <c r="L131" s="222"/>
      <c r="M131" s="222"/>
      <c r="N131" s="222"/>
      <c r="O131" s="140"/>
      <c r="P131" s="140"/>
      <c r="Q131" s="140"/>
      <c r="R131" s="140"/>
      <c r="S131" s="223"/>
      <c r="T131" s="136">
        <f t="shared" si="4"/>
        <v>45</v>
      </c>
      <c r="U131" s="223">
        <v>5</v>
      </c>
    </row>
    <row r="132" spans="1:21" ht="51">
      <c r="A132" s="218" t="s">
        <v>36</v>
      </c>
      <c r="B132" s="227" t="s">
        <v>200</v>
      </c>
      <c r="C132" s="71" t="s">
        <v>407</v>
      </c>
      <c r="D132" s="228" t="s">
        <v>294</v>
      </c>
      <c r="E132" s="209">
        <v>17</v>
      </c>
      <c r="F132" s="134">
        <v>1</v>
      </c>
      <c r="G132" s="135">
        <v>1</v>
      </c>
      <c r="H132" s="222">
        <v>30</v>
      </c>
      <c r="I132" s="222">
        <v>30</v>
      </c>
      <c r="J132" s="222">
        <v>30</v>
      </c>
      <c r="K132" s="222">
        <v>30</v>
      </c>
      <c r="L132" s="222"/>
      <c r="M132" s="222"/>
      <c r="N132" s="222"/>
      <c r="O132" s="140"/>
      <c r="P132" s="140"/>
      <c r="Q132" s="140"/>
      <c r="R132" s="140"/>
      <c r="S132" s="223"/>
      <c r="T132" s="136">
        <f t="shared" si="4"/>
        <v>60</v>
      </c>
      <c r="U132" s="223">
        <v>5</v>
      </c>
    </row>
    <row r="133" spans="1:21" ht="51">
      <c r="A133" s="218" t="s">
        <v>36</v>
      </c>
      <c r="B133" s="227" t="s">
        <v>200</v>
      </c>
      <c r="C133" s="71" t="s">
        <v>408</v>
      </c>
      <c r="D133" s="250" t="s">
        <v>294</v>
      </c>
      <c r="E133" s="209">
        <v>17</v>
      </c>
      <c r="F133" s="134">
        <v>1</v>
      </c>
      <c r="G133" s="135">
        <v>1</v>
      </c>
      <c r="H133" s="222">
        <v>30</v>
      </c>
      <c r="I133" s="222">
        <v>30</v>
      </c>
      <c r="J133" s="222">
        <v>15</v>
      </c>
      <c r="K133" s="222">
        <v>15</v>
      </c>
      <c r="L133" s="222"/>
      <c r="M133" s="222"/>
      <c r="N133" s="222"/>
      <c r="O133" s="140"/>
      <c r="P133" s="140"/>
      <c r="Q133" s="140"/>
      <c r="R133" s="140"/>
      <c r="S133" s="223"/>
      <c r="T133" s="136">
        <f t="shared" si="4"/>
        <v>45</v>
      </c>
      <c r="U133" s="223">
        <v>4</v>
      </c>
    </row>
    <row r="134" spans="1:21">
      <c r="A134" s="218" t="s">
        <v>36</v>
      </c>
      <c r="B134" s="227" t="s">
        <v>201</v>
      </c>
      <c r="C134" s="71" t="s">
        <v>403</v>
      </c>
      <c r="D134" s="250" t="s">
        <v>294</v>
      </c>
      <c r="E134" s="229">
        <v>16</v>
      </c>
      <c r="F134" s="134">
        <v>1</v>
      </c>
      <c r="G134" s="135">
        <v>1</v>
      </c>
      <c r="H134" s="222">
        <v>30</v>
      </c>
      <c r="I134" s="222">
        <v>30</v>
      </c>
      <c r="J134" s="222">
        <v>30</v>
      </c>
      <c r="K134" s="222">
        <v>30</v>
      </c>
      <c r="L134" s="222"/>
      <c r="M134" s="222"/>
      <c r="N134" s="222"/>
      <c r="O134" s="140"/>
      <c r="P134" s="140"/>
      <c r="Q134" s="140"/>
      <c r="R134" s="140"/>
      <c r="S134" s="223"/>
      <c r="T134" s="136">
        <f t="shared" si="4"/>
        <v>60</v>
      </c>
      <c r="U134" s="223">
        <v>6</v>
      </c>
    </row>
    <row r="135" spans="1:21">
      <c r="A135" s="218" t="s">
        <v>36</v>
      </c>
      <c r="B135" s="227" t="s">
        <v>201</v>
      </c>
      <c r="C135" s="71" t="s">
        <v>404</v>
      </c>
      <c r="D135" s="250" t="s">
        <v>294</v>
      </c>
      <c r="E135" s="229">
        <v>16</v>
      </c>
      <c r="F135" s="134">
        <v>1</v>
      </c>
      <c r="G135" s="135">
        <v>1</v>
      </c>
      <c r="H135" s="222">
        <v>30</v>
      </c>
      <c r="I135" s="222">
        <v>30</v>
      </c>
      <c r="J135" s="222">
        <v>30</v>
      </c>
      <c r="K135" s="222">
        <v>30</v>
      </c>
      <c r="L135" s="222"/>
      <c r="M135" s="222"/>
      <c r="N135" s="222"/>
      <c r="O135" s="140"/>
      <c r="P135" s="140"/>
      <c r="Q135" s="140"/>
      <c r="R135" s="140"/>
      <c r="S135" s="223"/>
      <c r="T135" s="136">
        <f t="shared" si="4"/>
        <v>60</v>
      </c>
      <c r="U135" s="223">
        <v>5</v>
      </c>
    </row>
    <row r="136" spans="1:21" ht="51">
      <c r="A136" s="218" t="s">
        <v>36</v>
      </c>
      <c r="B136" s="227" t="s">
        <v>201</v>
      </c>
      <c r="C136" s="71" t="s">
        <v>405</v>
      </c>
      <c r="D136" s="250" t="s">
        <v>294</v>
      </c>
      <c r="E136" s="229">
        <v>16</v>
      </c>
      <c r="F136" s="134">
        <v>1</v>
      </c>
      <c r="G136" s="135">
        <v>1</v>
      </c>
      <c r="H136" s="222">
        <v>30</v>
      </c>
      <c r="I136" s="222">
        <v>30</v>
      </c>
      <c r="J136" s="222">
        <v>30</v>
      </c>
      <c r="K136" s="222">
        <v>30</v>
      </c>
      <c r="L136" s="222"/>
      <c r="M136" s="222"/>
      <c r="N136" s="222"/>
      <c r="O136" s="140"/>
      <c r="P136" s="140"/>
      <c r="Q136" s="140"/>
      <c r="R136" s="140"/>
      <c r="S136" s="223"/>
      <c r="T136" s="136">
        <f t="shared" si="4"/>
        <v>60</v>
      </c>
      <c r="U136" s="223">
        <v>5</v>
      </c>
    </row>
    <row r="137" spans="1:21" ht="51">
      <c r="A137" s="218" t="s">
        <v>36</v>
      </c>
      <c r="B137" s="227" t="s">
        <v>201</v>
      </c>
      <c r="C137" s="71" t="s">
        <v>409</v>
      </c>
      <c r="D137" s="250" t="s">
        <v>294</v>
      </c>
      <c r="E137" s="229">
        <v>16</v>
      </c>
      <c r="F137" s="134">
        <v>1</v>
      </c>
      <c r="G137" s="135">
        <v>1</v>
      </c>
      <c r="H137" s="222">
        <v>30</v>
      </c>
      <c r="I137" s="222">
        <v>30</v>
      </c>
      <c r="J137" s="222">
        <v>15</v>
      </c>
      <c r="K137" s="222">
        <v>15</v>
      </c>
      <c r="L137" s="222"/>
      <c r="M137" s="222"/>
      <c r="N137" s="222"/>
      <c r="O137" s="140"/>
      <c r="P137" s="140"/>
      <c r="Q137" s="140"/>
      <c r="R137" s="140"/>
      <c r="S137" s="223"/>
      <c r="T137" s="136">
        <f t="shared" si="4"/>
        <v>45</v>
      </c>
      <c r="U137" s="223">
        <v>5</v>
      </c>
    </row>
    <row r="138" spans="1:21" ht="51">
      <c r="A138" s="218" t="s">
        <v>36</v>
      </c>
      <c r="B138" s="227" t="s">
        <v>201</v>
      </c>
      <c r="C138" s="71" t="s">
        <v>410</v>
      </c>
      <c r="D138" s="228" t="s">
        <v>294</v>
      </c>
      <c r="E138" s="229">
        <v>16</v>
      </c>
      <c r="F138" s="134">
        <v>1</v>
      </c>
      <c r="G138" s="135">
        <v>1</v>
      </c>
      <c r="H138" s="222">
        <v>30</v>
      </c>
      <c r="I138" s="222">
        <v>30</v>
      </c>
      <c r="J138" s="222">
        <v>30</v>
      </c>
      <c r="K138" s="222">
        <v>30</v>
      </c>
      <c r="L138" s="222"/>
      <c r="M138" s="222"/>
      <c r="N138" s="222"/>
      <c r="O138" s="140"/>
      <c r="P138" s="140"/>
      <c r="Q138" s="140"/>
      <c r="R138" s="140"/>
      <c r="S138" s="223"/>
      <c r="T138" s="136">
        <f t="shared" si="4"/>
        <v>60</v>
      </c>
      <c r="U138" s="223">
        <v>5</v>
      </c>
    </row>
    <row r="139" spans="1:21" ht="51">
      <c r="A139" s="218" t="s">
        <v>36</v>
      </c>
      <c r="B139" s="227" t="s">
        <v>201</v>
      </c>
      <c r="C139" s="71" t="s">
        <v>408</v>
      </c>
      <c r="D139" s="250" t="s">
        <v>294</v>
      </c>
      <c r="E139" s="229">
        <v>16</v>
      </c>
      <c r="F139" s="134">
        <v>1</v>
      </c>
      <c r="G139" s="135">
        <v>1</v>
      </c>
      <c r="H139" s="222">
        <v>30</v>
      </c>
      <c r="I139" s="222">
        <v>30</v>
      </c>
      <c r="J139" s="222">
        <v>15</v>
      </c>
      <c r="K139" s="222">
        <v>15</v>
      </c>
      <c r="L139" s="222"/>
      <c r="M139" s="222"/>
      <c r="N139" s="222"/>
      <c r="O139" s="140"/>
      <c r="P139" s="140"/>
      <c r="Q139" s="140"/>
      <c r="R139" s="140"/>
      <c r="S139" s="223"/>
      <c r="T139" s="136">
        <f t="shared" si="4"/>
        <v>45</v>
      </c>
      <c r="U139" s="223">
        <v>4</v>
      </c>
    </row>
    <row r="140" spans="1:21">
      <c r="A140" s="218" t="s">
        <v>36</v>
      </c>
      <c r="B140" s="227" t="s">
        <v>214</v>
      </c>
      <c r="C140" s="71" t="s">
        <v>411</v>
      </c>
      <c r="D140" s="250" t="s">
        <v>216</v>
      </c>
      <c r="E140" s="229">
        <v>13</v>
      </c>
      <c r="F140" s="134">
        <v>1</v>
      </c>
      <c r="G140" s="135">
        <v>1</v>
      </c>
      <c r="H140" s="222">
        <v>30</v>
      </c>
      <c r="I140" s="222">
        <v>30</v>
      </c>
      <c r="J140" s="222">
        <v>20</v>
      </c>
      <c r="K140" s="222">
        <v>20</v>
      </c>
      <c r="L140" s="222">
        <v>10</v>
      </c>
      <c r="M140" s="222">
        <v>10</v>
      </c>
      <c r="N140" s="222"/>
      <c r="O140" s="140"/>
      <c r="P140" s="140"/>
      <c r="Q140" s="140"/>
      <c r="R140" s="140"/>
      <c r="S140" s="223"/>
      <c r="T140" s="136">
        <f t="shared" si="4"/>
        <v>60</v>
      </c>
      <c r="U140" s="223">
        <v>4</v>
      </c>
    </row>
    <row r="141" spans="1:21">
      <c r="A141" s="218" t="s">
        <v>36</v>
      </c>
      <c r="B141" s="227" t="s">
        <v>214</v>
      </c>
      <c r="C141" s="71" t="s">
        <v>412</v>
      </c>
      <c r="D141" s="250" t="s">
        <v>216</v>
      </c>
      <c r="E141" s="229">
        <v>13</v>
      </c>
      <c r="F141" s="134">
        <v>1</v>
      </c>
      <c r="G141" s="135">
        <v>1</v>
      </c>
      <c r="H141" s="222">
        <v>45</v>
      </c>
      <c r="I141" s="222">
        <v>45</v>
      </c>
      <c r="J141" s="222">
        <v>20</v>
      </c>
      <c r="K141" s="222">
        <v>20</v>
      </c>
      <c r="L141" s="222">
        <v>10</v>
      </c>
      <c r="M141" s="222">
        <v>10</v>
      </c>
      <c r="N141" s="222"/>
      <c r="O141" s="140"/>
      <c r="P141" s="140"/>
      <c r="Q141" s="140"/>
      <c r="R141" s="140"/>
      <c r="S141" s="223"/>
      <c r="T141" s="136">
        <f t="shared" ref="T141:T155" si="5">(I141+K141+M141+N141+O141+P141+Q141+R141+S141)</f>
        <v>75</v>
      </c>
      <c r="U141" s="223">
        <v>7</v>
      </c>
    </row>
    <row r="142" spans="1:21" ht="25.5">
      <c r="A142" s="218" t="s">
        <v>36</v>
      </c>
      <c r="B142" s="227" t="s">
        <v>214</v>
      </c>
      <c r="C142" s="71" t="s">
        <v>413</v>
      </c>
      <c r="D142" s="250" t="s">
        <v>216</v>
      </c>
      <c r="E142" s="229">
        <v>13</v>
      </c>
      <c r="F142" s="134">
        <v>1</v>
      </c>
      <c r="G142" s="135">
        <v>1</v>
      </c>
      <c r="H142" s="222">
        <v>30</v>
      </c>
      <c r="I142" s="222">
        <v>30</v>
      </c>
      <c r="J142" s="222">
        <v>15</v>
      </c>
      <c r="K142" s="222">
        <v>15</v>
      </c>
      <c r="L142" s="222"/>
      <c r="M142" s="222"/>
      <c r="N142" s="222"/>
      <c r="O142" s="140"/>
      <c r="P142" s="140"/>
      <c r="Q142" s="140"/>
      <c r="R142" s="140"/>
      <c r="S142" s="223"/>
      <c r="T142" s="136">
        <f t="shared" si="5"/>
        <v>45</v>
      </c>
      <c r="U142" s="223">
        <v>4</v>
      </c>
    </row>
    <row r="143" spans="1:21">
      <c r="A143" s="218" t="s">
        <v>36</v>
      </c>
      <c r="B143" s="227" t="s">
        <v>214</v>
      </c>
      <c r="C143" s="71" t="s">
        <v>414</v>
      </c>
      <c r="D143" s="250" t="s">
        <v>216</v>
      </c>
      <c r="E143" s="229">
        <v>13</v>
      </c>
      <c r="F143" s="134">
        <v>1</v>
      </c>
      <c r="G143" s="135">
        <v>1</v>
      </c>
      <c r="H143" s="222">
        <v>60</v>
      </c>
      <c r="I143" s="222">
        <v>60</v>
      </c>
      <c r="J143" s="222">
        <v>45</v>
      </c>
      <c r="K143" s="222">
        <v>45</v>
      </c>
      <c r="L143" s="222"/>
      <c r="M143" s="222"/>
      <c r="N143" s="222"/>
      <c r="O143" s="140"/>
      <c r="P143" s="140"/>
      <c r="Q143" s="140"/>
      <c r="R143" s="140"/>
      <c r="S143" s="223"/>
      <c r="T143" s="136">
        <f t="shared" si="5"/>
        <v>105</v>
      </c>
      <c r="U143" s="223">
        <v>8</v>
      </c>
    </row>
    <row r="144" spans="1:21" ht="51">
      <c r="A144" s="218" t="s">
        <v>36</v>
      </c>
      <c r="B144" s="227" t="s">
        <v>214</v>
      </c>
      <c r="C144" s="71" t="s">
        <v>415</v>
      </c>
      <c r="D144" s="250" t="s">
        <v>216</v>
      </c>
      <c r="E144" s="229">
        <v>13</v>
      </c>
      <c r="F144" s="134">
        <v>1</v>
      </c>
      <c r="G144" s="135">
        <v>1</v>
      </c>
      <c r="H144" s="222">
        <v>45</v>
      </c>
      <c r="I144" s="222">
        <v>45</v>
      </c>
      <c r="J144" s="222">
        <v>30</v>
      </c>
      <c r="K144" s="222">
        <v>30</v>
      </c>
      <c r="L144" s="222"/>
      <c r="M144" s="222"/>
      <c r="N144" s="222"/>
      <c r="O144" s="140"/>
      <c r="P144" s="140"/>
      <c r="Q144" s="140"/>
      <c r="R144" s="140"/>
      <c r="S144" s="223"/>
      <c r="T144" s="136">
        <f t="shared" si="5"/>
        <v>75</v>
      </c>
      <c r="U144" s="223">
        <v>7</v>
      </c>
    </row>
    <row r="145" spans="1:21" ht="51">
      <c r="A145" s="22" t="s">
        <v>36</v>
      </c>
      <c r="B145" s="110" t="s">
        <v>353</v>
      </c>
      <c r="C145" s="51" t="s">
        <v>416</v>
      </c>
      <c r="D145" s="21" t="s">
        <v>355</v>
      </c>
      <c r="E145" s="111">
        <v>10</v>
      </c>
      <c r="F145" s="23">
        <v>1</v>
      </c>
      <c r="G145" s="24">
        <v>1</v>
      </c>
      <c r="H145" s="88">
        <v>30</v>
      </c>
      <c r="I145" s="88">
        <v>30</v>
      </c>
      <c r="J145" s="88">
        <v>30</v>
      </c>
      <c r="K145" s="88"/>
      <c r="L145" s="88"/>
      <c r="M145" s="88"/>
      <c r="N145" s="88"/>
      <c r="O145" s="53"/>
      <c r="P145" s="53"/>
      <c r="Q145" s="53"/>
      <c r="R145" s="53"/>
      <c r="S145" s="89"/>
      <c r="T145" s="25">
        <f t="shared" si="5"/>
        <v>30</v>
      </c>
      <c r="U145" s="89">
        <v>8</v>
      </c>
    </row>
    <row r="146" spans="1:21" ht="51">
      <c r="A146" s="22" t="s">
        <v>36</v>
      </c>
      <c r="B146" s="110" t="s">
        <v>353</v>
      </c>
      <c r="C146" s="51" t="s">
        <v>417</v>
      </c>
      <c r="D146" s="21" t="s">
        <v>355</v>
      </c>
      <c r="E146" s="111">
        <v>10</v>
      </c>
      <c r="F146" s="23">
        <v>1</v>
      </c>
      <c r="G146" s="24">
        <v>1</v>
      </c>
      <c r="H146" s="88">
        <v>30</v>
      </c>
      <c r="I146" s="88">
        <v>30</v>
      </c>
      <c r="J146" s="88">
        <v>15</v>
      </c>
      <c r="K146" s="88"/>
      <c r="L146" s="88"/>
      <c r="M146" s="88"/>
      <c r="N146" s="88"/>
      <c r="O146" s="53"/>
      <c r="P146" s="53"/>
      <c r="Q146" s="53"/>
      <c r="R146" s="53"/>
      <c r="S146" s="89"/>
      <c r="T146" s="25">
        <f t="shared" si="5"/>
        <v>30</v>
      </c>
      <c r="U146" s="89">
        <v>6</v>
      </c>
    </row>
    <row r="147" spans="1:21" ht="51">
      <c r="A147" s="22" t="s">
        <v>36</v>
      </c>
      <c r="B147" s="110" t="s">
        <v>353</v>
      </c>
      <c r="C147" s="51" t="s">
        <v>418</v>
      </c>
      <c r="D147" s="21" t="s">
        <v>355</v>
      </c>
      <c r="E147" s="111">
        <v>10</v>
      </c>
      <c r="F147" s="23">
        <v>1</v>
      </c>
      <c r="G147" s="24">
        <v>1</v>
      </c>
      <c r="H147" s="88">
        <v>30</v>
      </c>
      <c r="I147" s="88">
        <v>30</v>
      </c>
      <c r="J147" s="88">
        <v>15</v>
      </c>
      <c r="K147" s="88"/>
      <c r="L147" s="88"/>
      <c r="M147" s="88"/>
      <c r="N147" s="88"/>
      <c r="O147" s="53"/>
      <c r="P147" s="53"/>
      <c r="Q147" s="53"/>
      <c r="R147" s="53"/>
      <c r="S147" s="89"/>
      <c r="T147" s="25">
        <f t="shared" si="5"/>
        <v>30</v>
      </c>
      <c r="U147" s="89">
        <v>4</v>
      </c>
    </row>
    <row r="148" spans="1:21" ht="51">
      <c r="A148" s="22" t="s">
        <v>36</v>
      </c>
      <c r="B148" s="110" t="s">
        <v>353</v>
      </c>
      <c r="C148" s="51" t="s">
        <v>419</v>
      </c>
      <c r="D148" s="21" t="s">
        <v>355</v>
      </c>
      <c r="E148" s="111">
        <v>10</v>
      </c>
      <c r="F148" s="23">
        <v>1</v>
      </c>
      <c r="G148" s="24">
        <v>1</v>
      </c>
      <c r="H148" s="88">
        <v>30</v>
      </c>
      <c r="I148" s="88">
        <v>30</v>
      </c>
      <c r="J148" s="88"/>
      <c r="K148" s="88"/>
      <c r="L148" s="88">
        <v>15</v>
      </c>
      <c r="M148" s="88">
        <v>15</v>
      </c>
      <c r="N148" s="88"/>
      <c r="O148" s="53"/>
      <c r="P148" s="53"/>
      <c r="Q148" s="53"/>
      <c r="R148" s="53"/>
      <c r="S148" s="89"/>
      <c r="T148" s="25">
        <f t="shared" si="5"/>
        <v>45</v>
      </c>
      <c r="U148" s="89">
        <v>6</v>
      </c>
    </row>
    <row r="149" spans="1:21" ht="38.25">
      <c r="A149" s="22" t="s">
        <v>36</v>
      </c>
      <c r="B149" s="110" t="s">
        <v>420</v>
      </c>
      <c r="C149" s="51" t="s">
        <v>421</v>
      </c>
      <c r="D149" s="21" t="s">
        <v>422</v>
      </c>
      <c r="E149" s="111">
        <v>10</v>
      </c>
      <c r="F149" s="23">
        <v>1</v>
      </c>
      <c r="G149" s="24">
        <v>1</v>
      </c>
      <c r="H149" s="88">
        <v>15</v>
      </c>
      <c r="I149" s="88">
        <v>15</v>
      </c>
      <c r="J149" s="88">
        <v>15</v>
      </c>
      <c r="K149" s="88"/>
      <c r="L149" s="88"/>
      <c r="M149" s="88"/>
      <c r="N149" s="88"/>
      <c r="O149" s="53"/>
      <c r="P149" s="53"/>
      <c r="Q149" s="53"/>
      <c r="R149" s="53"/>
      <c r="S149" s="89"/>
      <c r="T149" s="25">
        <f t="shared" si="5"/>
        <v>15</v>
      </c>
      <c r="U149" s="89">
        <v>4</v>
      </c>
    </row>
    <row r="150" spans="1:21" ht="51">
      <c r="A150" s="22" t="s">
        <v>36</v>
      </c>
      <c r="B150" s="51" t="s">
        <v>423</v>
      </c>
      <c r="C150" s="51" t="s">
        <v>378</v>
      </c>
      <c r="D150" s="21" t="s">
        <v>424</v>
      </c>
      <c r="E150" s="100" t="s">
        <v>362</v>
      </c>
      <c r="F150" s="23">
        <v>1</v>
      </c>
      <c r="G150" s="24">
        <v>1</v>
      </c>
      <c r="H150" s="88">
        <v>15</v>
      </c>
      <c r="I150" s="88">
        <v>15</v>
      </c>
      <c r="J150" s="88">
        <v>15</v>
      </c>
      <c r="K150" s="88"/>
      <c r="L150" s="88"/>
      <c r="M150" s="88"/>
      <c r="N150" s="88"/>
      <c r="O150" s="53"/>
      <c r="P150" s="53"/>
      <c r="Q150" s="53"/>
      <c r="R150" s="53"/>
      <c r="S150" s="89"/>
      <c r="T150" s="25">
        <f t="shared" si="5"/>
        <v>15</v>
      </c>
      <c r="U150" s="89">
        <v>4</v>
      </c>
    </row>
    <row r="151" spans="1:21" ht="38.25">
      <c r="A151" s="22" t="s">
        <v>36</v>
      </c>
      <c r="B151" s="110" t="s">
        <v>420</v>
      </c>
      <c r="C151" s="51" t="s">
        <v>425</v>
      </c>
      <c r="D151" s="21" t="s">
        <v>422</v>
      </c>
      <c r="E151" s="111">
        <v>10</v>
      </c>
      <c r="F151" s="23">
        <v>1</v>
      </c>
      <c r="G151" s="24">
        <v>1</v>
      </c>
      <c r="H151" s="88">
        <v>30</v>
      </c>
      <c r="I151" s="88">
        <v>30</v>
      </c>
      <c r="J151" s="88">
        <v>30</v>
      </c>
      <c r="K151" s="88"/>
      <c r="L151" s="88"/>
      <c r="M151" s="88"/>
      <c r="N151" s="88"/>
      <c r="O151" s="53"/>
      <c r="P151" s="53"/>
      <c r="Q151" s="53"/>
      <c r="R151" s="53"/>
      <c r="S151" s="89"/>
      <c r="T151" s="25">
        <f t="shared" si="5"/>
        <v>30</v>
      </c>
      <c r="U151" s="89">
        <v>8</v>
      </c>
    </row>
    <row r="152" spans="1:21" ht="38.25">
      <c r="A152" s="22" t="s">
        <v>36</v>
      </c>
      <c r="B152" s="110" t="s">
        <v>420</v>
      </c>
      <c r="C152" s="51" t="s">
        <v>426</v>
      </c>
      <c r="D152" s="21" t="s">
        <v>422</v>
      </c>
      <c r="E152" s="111">
        <v>10</v>
      </c>
      <c r="F152" s="23">
        <v>1</v>
      </c>
      <c r="G152" s="24">
        <v>1</v>
      </c>
      <c r="H152" s="88">
        <v>30</v>
      </c>
      <c r="I152" s="88">
        <v>30</v>
      </c>
      <c r="J152" s="88">
        <v>30</v>
      </c>
      <c r="K152" s="88"/>
      <c r="L152" s="88"/>
      <c r="M152" s="88"/>
      <c r="N152" s="88"/>
      <c r="O152" s="53"/>
      <c r="P152" s="53"/>
      <c r="Q152" s="53"/>
      <c r="R152" s="53"/>
      <c r="S152" s="89"/>
      <c r="T152" s="25">
        <f t="shared" si="5"/>
        <v>30</v>
      </c>
      <c r="U152" s="89">
        <v>8</v>
      </c>
    </row>
    <row r="153" spans="1:21">
      <c r="A153" s="22" t="s">
        <v>36</v>
      </c>
      <c r="B153" s="110" t="s">
        <v>366</v>
      </c>
      <c r="C153" s="51" t="s">
        <v>427</v>
      </c>
      <c r="D153" s="21" t="s">
        <v>428</v>
      </c>
      <c r="E153" s="111">
        <v>10</v>
      </c>
      <c r="F153" s="23">
        <v>1</v>
      </c>
      <c r="G153" s="24">
        <v>1</v>
      </c>
      <c r="H153" s="88">
        <v>30</v>
      </c>
      <c r="I153" s="88">
        <v>30</v>
      </c>
      <c r="J153" s="88">
        <v>30</v>
      </c>
      <c r="K153" s="88"/>
      <c r="L153" s="88"/>
      <c r="M153" s="88"/>
      <c r="N153" s="88"/>
      <c r="O153" s="53"/>
      <c r="P153" s="53"/>
      <c r="Q153" s="53"/>
      <c r="R153" s="53"/>
      <c r="S153" s="89"/>
      <c r="T153" s="25">
        <f t="shared" si="5"/>
        <v>30</v>
      </c>
      <c r="U153" s="89">
        <v>8</v>
      </c>
    </row>
    <row r="154" spans="1:21">
      <c r="A154" s="22" t="s">
        <v>36</v>
      </c>
      <c r="B154" s="110" t="s">
        <v>366</v>
      </c>
      <c r="C154" s="51" t="s">
        <v>429</v>
      </c>
      <c r="D154" s="21" t="s">
        <v>428</v>
      </c>
      <c r="E154" s="111">
        <v>10</v>
      </c>
      <c r="F154" s="23">
        <v>1</v>
      </c>
      <c r="G154" s="24">
        <v>1</v>
      </c>
      <c r="H154" s="88">
        <v>30</v>
      </c>
      <c r="I154" s="88">
        <v>30</v>
      </c>
      <c r="J154" s="88">
        <v>15</v>
      </c>
      <c r="K154" s="88"/>
      <c r="L154" s="88"/>
      <c r="M154" s="88"/>
      <c r="N154" s="88"/>
      <c r="O154" s="53"/>
      <c r="P154" s="53"/>
      <c r="Q154" s="53"/>
      <c r="R154" s="53"/>
      <c r="S154" s="89"/>
      <c r="T154" s="25">
        <f t="shared" si="5"/>
        <v>30</v>
      </c>
      <c r="U154" s="89">
        <v>6</v>
      </c>
    </row>
    <row r="155" spans="1:21" ht="38.25">
      <c r="A155" s="22" t="s">
        <v>36</v>
      </c>
      <c r="B155" s="110" t="s">
        <v>366</v>
      </c>
      <c r="C155" s="51" t="s">
        <v>430</v>
      </c>
      <c r="D155" s="21" t="s">
        <v>428</v>
      </c>
      <c r="E155" s="111">
        <v>10</v>
      </c>
      <c r="F155" s="23">
        <v>1</v>
      </c>
      <c r="G155" s="24">
        <v>1</v>
      </c>
      <c r="H155" s="88">
        <v>30</v>
      </c>
      <c r="I155" s="88">
        <v>30</v>
      </c>
      <c r="J155" s="88">
        <v>15</v>
      </c>
      <c r="K155" s="88"/>
      <c r="L155" s="88"/>
      <c r="M155" s="88"/>
      <c r="N155" s="88"/>
      <c r="O155" s="53"/>
      <c r="P155" s="53"/>
      <c r="Q155" s="53"/>
      <c r="R155" s="53"/>
      <c r="S155" s="89"/>
      <c r="T155" s="25">
        <f t="shared" si="5"/>
        <v>30</v>
      </c>
      <c r="U155" s="89">
        <v>6</v>
      </c>
    </row>
    <row r="156" spans="1:21">
      <c r="A156" s="22" t="s">
        <v>36</v>
      </c>
      <c r="B156" s="110" t="s">
        <v>88</v>
      </c>
      <c r="C156" s="51" t="s">
        <v>431</v>
      </c>
      <c r="D156" s="112" t="s">
        <v>294</v>
      </c>
      <c r="E156" s="111">
        <v>46</v>
      </c>
      <c r="F156" s="23">
        <v>1</v>
      </c>
      <c r="G156" s="24">
        <v>2</v>
      </c>
      <c r="H156" s="88">
        <v>30</v>
      </c>
      <c r="I156" s="88">
        <v>30</v>
      </c>
      <c r="J156" s="88">
        <v>30</v>
      </c>
      <c r="K156" s="88">
        <v>60</v>
      </c>
      <c r="L156" s="88"/>
      <c r="M156" s="88"/>
      <c r="N156" s="88"/>
      <c r="O156" s="53"/>
      <c r="P156" s="53"/>
      <c r="Q156" s="53"/>
      <c r="R156" s="53"/>
      <c r="S156" s="89"/>
      <c r="T156" s="25">
        <f t="shared" ref="T156:T166" si="6">(I156+K156+M156+N156+O156+P156+Q156+R156+S156)</f>
        <v>90</v>
      </c>
      <c r="U156" s="89">
        <v>5</v>
      </c>
    </row>
    <row r="157" spans="1:21">
      <c r="A157" s="22" t="s">
        <v>36</v>
      </c>
      <c r="B157" s="110" t="s">
        <v>88</v>
      </c>
      <c r="C157" s="51" t="s">
        <v>395</v>
      </c>
      <c r="D157" s="112" t="s">
        <v>294</v>
      </c>
      <c r="E157" s="111">
        <v>46</v>
      </c>
      <c r="F157" s="23">
        <v>1</v>
      </c>
      <c r="G157" s="24">
        <v>2</v>
      </c>
      <c r="H157" s="88">
        <v>30</v>
      </c>
      <c r="I157" s="88">
        <v>30</v>
      </c>
      <c r="J157" s="88">
        <v>30</v>
      </c>
      <c r="K157" s="88">
        <v>60</v>
      </c>
      <c r="L157" s="88"/>
      <c r="M157" s="88"/>
      <c r="N157" s="88"/>
      <c r="O157" s="53"/>
      <c r="P157" s="53"/>
      <c r="Q157" s="53"/>
      <c r="R157" s="53"/>
      <c r="S157" s="89"/>
      <c r="T157" s="25">
        <f t="shared" si="6"/>
        <v>90</v>
      </c>
      <c r="U157" s="116">
        <v>6</v>
      </c>
    </row>
    <row r="158" spans="1:21" ht="63.75">
      <c r="A158" s="22" t="s">
        <v>36</v>
      </c>
      <c r="B158" s="110" t="s">
        <v>88</v>
      </c>
      <c r="C158" s="51" t="s">
        <v>432</v>
      </c>
      <c r="D158" s="112" t="s">
        <v>294</v>
      </c>
      <c r="E158" s="111">
        <v>46</v>
      </c>
      <c r="F158" s="23">
        <v>1</v>
      </c>
      <c r="G158" s="24">
        <v>2</v>
      </c>
      <c r="H158" s="88">
        <v>30</v>
      </c>
      <c r="I158" s="88">
        <v>30</v>
      </c>
      <c r="J158" s="88">
        <v>15</v>
      </c>
      <c r="K158" s="88">
        <v>30</v>
      </c>
      <c r="L158" s="88"/>
      <c r="M158" s="88"/>
      <c r="N158" s="88"/>
      <c r="O158" s="53"/>
      <c r="P158" s="53"/>
      <c r="Q158" s="53"/>
      <c r="R158" s="53"/>
      <c r="S158" s="89"/>
      <c r="T158" s="25">
        <f t="shared" si="6"/>
        <v>60</v>
      </c>
      <c r="U158" s="89">
        <v>4</v>
      </c>
    </row>
    <row r="159" spans="1:21" ht="51">
      <c r="A159" s="22" t="s">
        <v>36</v>
      </c>
      <c r="B159" s="110" t="s">
        <v>88</v>
      </c>
      <c r="C159" s="51" t="s">
        <v>433</v>
      </c>
      <c r="D159" s="112" t="s">
        <v>294</v>
      </c>
      <c r="E159" s="111">
        <v>46</v>
      </c>
      <c r="F159" s="23">
        <v>1</v>
      </c>
      <c r="G159" s="24">
        <v>2</v>
      </c>
      <c r="H159" s="88">
        <v>30</v>
      </c>
      <c r="I159" s="88">
        <v>30</v>
      </c>
      <c r="J159" s="88">
        <v>30</v>
      </c>
      <c r="K159" s="88">
        <v>60</v>
      </c>
      <c r="L159" s="88"/>
      <c r="M159" s="88"/>
      <c r="N159" s="88"/>
      <c r="O159" s="53"/>
      <c r="P159" s="53"/>
      <c r="Q159" s="53"/>
      <c r="R159" s="53"/>
      <c r="S159" s="89"/>
      <c r="T159" s="25">
        <f t="shared" si="6"/>
        <v>90</v>
      </c>
      <c r="U159" s="89">
        <v>5</v>
      </c>
    </row>
    <row r="160" spans="1:21">
      <c r="A160" s="22" t="s">
        <v>36</v>
      </c>
      <c r="B160" s="113" t="s">
        <v>91</v>
      </c>
      <c r="C160" s="19" t="s">
        <v>293</v>
      </c>
      <c r="D160" s="114" t="s">
        <v>375</v>
      </c>
      <c r="E160" s="115">
        <v>20</v>
      </c>
      <c r="F160" s="23">
        <v>1</v>
      </c>
      <c r="G160" s="24">
        <v>1</v>
      </c>
      <c r="H160" s="25">
        <v>30</v>
      </c>
      <c r="I160" s="25">
        <v>30</v>
      </c>
      <c r="J160" s="25">
        <v>30</v>
      </c>
      <c r="K160" s="25">
        <v>30</v>
      </c>
      <c r="L160" s="25"/>
      <c r="M160" s="66"/>
      <c r="N160" s="25"/>
      <c r="O160" s="42"/>
      <c r="P160" s="42"/>
      <c r="Q160" s="42"/>
      <c r="R160" s="42"/>
      <c r="S160" s="41"/>
      <c r="T160" s="25">
        <f t="shared" si="6"/>
        <v>60</v>
      </c>
      <c r="U160" s="41">
        <v>6</v>
      </c>
    </row>
    <row r="161" spans="1:21">
      <c r="A161" s="22" t="s">
        <v>36</v>
      </c>
      <c r="B161" s="113" t="s">
        <v>91</v>
      </c>
      <c r="C161" s="19" t="s">
        <v>289</v>
      </c>
      <c r="D161" s="114" t="s">
        <v>375</v>
      </c>
      <c r="E161" s="115">
        <v>20</v>
      </c>
      <c r="F161" s="23">
        <v>1</v>
      </c>
      <c r="G161" s="24">
        <v>1</v>
      </c>
      <c r="H161" s="25">
        <v>30</v>
      </c>
      <c r="I161" s="25">
        <v>30</v>
      </c>
      <c r="J161" s="25"/>
      <c r="K161" s="25"/>
      <c r="L161" s="25">
        <v>30</v>
      </c>
      <c r="M161" s="25">
        <v>30</v>
      </c>
      <c r="N161" s="25"/>
      <c r="O161" s="42"/>
      <c r="P161" s="42"/>
      <c r="Q161" s="42"/>
      <c r="R161" s="42"/>
      <c r="S161" s="41"/>
      <c r="T161" s="25">
        <f t="shared" si="6"/>
        <v>60</v>
      </c>
      <c r="U161" s="41">
        <v>5</v>
      </c>
    </row>
    <row r="162" spans="1:21" ht="38.25">
      <c r="A162" s="22" t="s">
        <v>36</v>
      </c>
      <c r="B162" s="113" t="s">
        <v>91</v>
      </c>
      <c r="C162" s="19" t="s">
        <v>434</v>
      </c>
      <c r="D162" s="114" t="s">
        <v>375</v>
      </c>
      <c r="E162" s="115">
        <v>20</v>
      </c>
      <c r="F162" s="23">
        <v>1</v>
      </c>
      <c r="G162" s="24">
        <v>1</v>
      </c>
      <c r="H162" s="25">
        <v>30</v>
      </c>
      <c r="I162" s="25">
        <v>30</v>
      </c>
      <c r="J162" s="25"/>
      <c r="K162" s="25"/>
      <c r="L162" s="25">
        <v>30</v>
      </c>
      <c r="M162" s="25">
        <v>30</v>
      </c>
      <c r="N162" s="25"/>
      <c r="O162" s="42"/>
      <c r="P162" s="42"/>
      <c r="Q162" s="42"/>
      <c r="R162" s="42"/>
      <c r="S162" s="41"/>
      <c r="T162" s="25">
        <f t="shared" si="6"/>
        <v>60</v>
      </c>
      <c r="U162" s="41">
        <v>6</v>
      </c>
    </row>
    <row r="163" spans="1:21" ht="38.25">
      <c r="A163" s="22" t="s">
        <v>36</v>
      </c>
      <c r="B163" s="113" t="s">
        <v>91</v>
      </c>
      <c r="C163" s="19" t="s">
        <v>435</v>
      </c>
      <c r="D163" s="114" t="s">
        <v>375</v>
      </c>
      <c r="E163" s="115">
        <v>20</v>
      </c>
      <c r="F163" s="23">
        <v>1</v>
      </c>
      <c r="G163" s="24">
        <v>1</v>
      </c>
      <c r="H163" s="25">
        <v>30</v>
      </c>
      <c r="I163" s="25">
        <v>30</v>
      </c>
      <c r="J163" s="25">
        <v>15</v>
      </c>
      <c r="K163" s="25">
        <v>15</v>
      </c>
      <c r="L163" s="25"/>
      <c r="M163" s="66"/>
      <c r="N163" s="25"/>
      <c r="O163" s="42"/>
      <c r="P163" s="42"/>
      <c r="Q163" s="42"/>
      <c r="R163" s="42"/>
      <c r="S163" s="41"/>
      <c r="T163" s="25">
        <f t="shared" si="6"/>
        <v>45</v>
      </c>
      <c r="U163" s="41">
        <v>4</v>
      </c>
    </row>
    <row r="164" spans="1:21" ht="51">
      <c r="A164" s="218" t="s">
        <v>36</v>
      </c>
      <c r="B164" s="220" t="s">
        <v>795</v>
      </c>
      <c r="C164" s="247" t="s">
        <v>436</v>
      </c>
      <c r="D164" s="264" t="s">
        <v>290</v>
      </c>
      <c r="E164" s="209" t="s">
        <v>437</v>
      </c>
      <c r="F164" s="136"/>
      <c r="G164" s="144"/>
      <c r="H164" s="136"/>
      <c r="I164" s="144"/>
      <c r="J164" s="136"/>
      <c r="K164" s="144"/>
      <c r="L164" s="136"/>
      <c r="M164" s="144"/>
      <c r="N164" s="136"/>
      <c r="O164" s="142"/>
      <c r="P164" s="142"/>
      <c r="Q164" s="142"/>
      <c r="R164" s="142"/>
      <c r="S164" s="144">
        <v>30</v>
      </c>
      <c r="T164" s="136">
        <f t="shared" si="6"/>
        <v>30</v>
      </c>
      <c r="U164" s="144">
        <v>21</v>
      </c>
    </row>
    <row r="165" spans="1:21">
      <c r="A165" s="218" t="s">
        <v>36</v>
      </c>
      <c r="B165" s="220" t="s">
        <v>328</v>
      </c>
      <c r="C165" s="137" t="s">
        <v>40</v>
      </c>
      <c r="D165" s="264" t="s">
        <v>290</v>
      </c>
      <c r="E165" s="209">
        <v>21</v>
      </c>
      <c r="F165" s="136"/>
      <c r="G165" s="144"/>
      <c r="H165" s="136"/>
      <c r="I165" s="144"/>
      <c r="J165" s="136"/>
      <c r="K165" s="144"/>
      <c r="L165" s="136"/>
      <c r="M165" s="144"/>
      <c r="N165" s="136"/>
      <c r="O165" s="142"/>
      <c r="P165" s="142"/>
      <c r="Q165" s="142"/>
      <c r="R165" s="142"/>
      <c r="S165" s="144">
        <v>420</v>
      </c>
      <c r="T165" s="136">
        <f t="shared" si="6"/>
        <v>420</v>
      </c>
      <c r="U165" s="144"/>
    </row>
    <row r="166" spans="1:21" ht="25.5">
      <c r="A166" s="218" t="s">
        <v>36</v>
      </c>
      <c r="B166" s="137" t="s">
        <v>322</v>
      </c>
      <c r="C166" s="137" t="s">
        <v>40</v>
      </c>
      <c r="D166" s="250" t="s">
        <v>290</v>
      </c>
      <c r="E166" s="239" t="s">
        <v>787</v>
      </c>
      <c r="F166" s="222"/>
      <c r="G166" s="223"/>
      <c r="H166" s="222"/>
      <c r="I166" s="223"/>
      <c r="J166" s="222"/>
      <c r="K166" s="223"/>
      <c r="L166" s="222"/>
      <c r="M166" s="223"/>
      <c r="N166" s="222"/>
      <c r="O166" s="140"/>
      <c r="P166" s="140"/>
      <c r="Q166" s="140"/>
      <c r="R166" s="140"/>
      <c r="S166" s="223">
        <v>500</v>
      </c>
      <c r="T166" s="136">
        <f t="shared" si="6"/>
        <v>500</v>
      </c>
      <c r="U166" s="223">
        <v>9</v>
      </c>
    </row>
    <row r="167" spans="1:21" ht="51">
      <c r="A167" s="218" t="s">
        <v>36</v>
      </c>
      <c r="B167" s="217" t="s">
        <v>438</v>
      </c>
      <c r="C167" s="71" t="s">
        <v>51</v>
      </c>
      <c r="D167" s="60" t="s">
        <v>439</v>
      </c>
      <c r="E167" s="230" t="s">
        <v>35</v>
      </c>
      <c r="F167" s="233"/>
      <c r="G167" s="234"/>
      <c r="H167" s="233"/>
      <c r="I167" s="234"/>
      <c r="J167" s="233"/>
      <c r="K167" s="234"/>
      <c r="L167" s="233"/>
      <c r="M167" s="234"/>
      <c r="N167" s="233"/>
      <c r="O167" s="235"/>
      <c r="P167" s="235"/>
      <c r="Q167" s="235"/>
      <c r="R167" s="235"/>
      <c r="S167" s="234"/>
      <c r="T167" s="136">
        <f>(I167+K167+M167+N167+O167+P167+Q167+R167+S167)</f>
        <v>0</v>
      </c>
      <c r="U167" s="234">
        <v>6</v>
      </c>
    </row>
    <row r="168" spans="1:21" ht="51">
      <c r="A168" s="218" t="s">
        <v>36</v>
      </c>
      <c r="B168" s="217" t="s">
        <v>438</v>
      </c>
      <c r="C168" s="71" t="s">
        <v>52</v>
      </c>
      <c r="D168" s="60" t="s">
        <v>439</v>
      </c>
      <c r="E168" s="230" t="s">
        <v>35</v>
      </c>
      <c r="F168" s="233"/>
      <c r="G168" s="234"/>
      <c r="H168" s="233"/>
      <c r="I168" s="234"/>
      <c r="J168" s="233"/>
      <c r="K168" s="234"/>
      <c r="L168" s="233"/>
      <c r="M168" s="234"/>
      <c r="N168" s="233"/>
      <c r="O168" s="235"/>
      <c r="P168" s="235"/>
      <c r="Q168" s="235"/>
      <c r="R168" s="235"/>
      <c r="S168" s="234"/>
      <c r="T168" s="136">
        <f>(I168+K168+M168+N168+O168+P168+Q168+R168+S168)</f>
        <v>0</v>
      </c>
      <c r="U168" s="234">
        <v>6</v>
      </c>
    </row>
    <row r="169" spans="1:21" ht="25.5">
      <c r="A169" s="218" t="s">
        <v>36</v>
      </c>
      <c r="B169" s="217" t="s">
        <v>337</v>
      </c>
      <c r="C169" s="71" t="s">
        <v>440</v>
      </c>
      <c r="D169" s="71" t="s">
        <v>339</v>
      </c>
      <c r="E169" s="140">
        <v>9</v>
      </c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36">
        <f t="shared" ref="T169:T172" si="7">(I169+K169+M169+N169+O169+P169+Q169+R169+S169)</f>
        <v>0</v>
      </c>
      <c r="U169" s="140">
        <v>6</v>
      </c>
    </row>
    <row r="170" spans="1:21" ht="25.5">
      <c r="A170" s="218" t="s">
        <v>36</v>
      </c>
      <c r="B170" s="217" t="s">
        <v>337</v>
      </c>
      <c r="C170" s="71" t="s">
        <v>441</v>
      </c>
      <c r="D170" s="71" t="s">
        <v>339</v>
      </c>
      <c r="E170" s="140">
        <v>9</v>
      </c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36">
        <f t="shared" si="7"/>
        <v>0</v>
      </c>
      <c r="U170" s="140">
        <v>6</v>
      </c>
    </row>
    <row r="171" spans="1:21" ht="25.5">
      <c r="A171" s="218" t="s">
        <v>36</v>
      </c>
      <c r="B171" s="217" t="s">
        <v>337</v>
      </c>
      <c r="C171" s="71" t="s">
        <v>442</v>
      </c>
      <c r="D171" s="71" t="s">
        <v>339</v>
      </c>
      <c r="E171" s="140">
        <v>9</v>
      </c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>
        <v>360</v>
      </c>
      <c r="T171" s="136">
        <f t="shared" si="7"/>
        <v>360</v>
      </c>
      <c r="U171" s="140">
        <v>18</v>
      </c>
    </row>
    <row r="172" spans="1:21" ht="51">
      <c r="A172" s="265" t="s">
        <v>36</v>
      </c>
      <c r="B172" s="217" t="s">
        <v>438</v>
      </c>
      <c r="C172" s="227" t="s">
        <v>799</v>
      </c>
      <c r="D172" s="60" t="s">
        <v>439</v>
      </c>
      <c r="E172" s="230" t="s">
        <v>35</v>
      </c>
      <c r="F172" s="190"/>
      <c r="G172" s="191"/>
      <c r="H172" s="190"/>
      <c r="I172" s="191"/>
      <c r="J172" s="190"/>
      <c r="K172" s="191"/>
      <c r="L172" s="190"/>
      <c r="M172" s="191"/>
      <c r="N172" s="190"/>
      <c r="O172" s="200"/>
      <c r="P172" s="200"/>
      <c r="Q172" s="200"/>
      <c r="R172" s="200"/>
      <c r="S172" s="191">
        <v>720</v>
      </c>
      <c r="T172" s="136">
        <f t="shared" si="7"/>
        <v>720</v>
      </c>
      <c r="U172" s="191">
        <v>18</v>
      </c>
    </row>
    <row r="175" spans="1:21">
      <c r="T175" s="1">
        <f>SUM(T12:T174)</f>
        <v>10565</v>
      </c>
    </row>
    <row r="176" spans="1:21" ht="14.25" customHeight="1">
      <c r="A176" s="420" t="s">
        <v>41</v>
      </c>
      <c r="B176" s="421"/>
      <c r="C176" s="422"/>
      <c r="D176" s="69" t="s">
        <v>21</v>
      </c>
    </row>
    <row r="177" spans="1:4" ht="24" customHeight="1">
      <c r="A177" s="399" t="s">
        <v>42</v>
      </c>
      <c r="B177" s="400"/>
      <c r="C177" s="401"/>
      <c r="D177" s="80">
        <f>SUM(T12:T90)</f>
        <v>4530</v>
      </c>
    </row>
    <row r="178" spans="1:4" ht="24" customHeight="1">
      <c r="A178" s="402" t="s">
        <v>43</v>
      </c>
      <c r="B178" s="403"/>
      <c r="C178" s="404"/>
      <c r="D178" s="81">
        <f>SUM(T91:T172)</f>
        <v>6035</v>
      </c>
    </row>
    <row r="179" spans="1:4" ht="24" customHeight="1">
      <c r="A179" s="405" t="s">
        <v>44</v>
      </c>
      <c r="B179" s="406"/>
      <c r="C179" s="407"/>
      <c r="D179" s="82">
        <f>SUM(D177:D178)</f>
        <v>10565</v>
      </c>
    </row>
  </sheetData>
  <autoFilter ref="A10:U172" xr:uid="{00000000-0009-0000-0000-00000A000000}"/>
  <mergeCells count="17">
    <mergeCell ref="A176:C176"/>
    <mergeCell ref="A177:C177"/>
    <mergeCell ref="A178:C178"/>
    <mergeCell ref="A179:C179"/>
    <mergeCell ref="A9:A10"/>
    <mergeCell ref="B9:B10"/>
    <mergeCell ref="C9:C10"/>
    <mergeCell ref="D9:D10"/>
    <mergeCell ref="E9:E10"/>
    <mergeCell ref="F9:F10"/>
    <mergeCell ref="G9:G10"/>
    <mergeCell ref="N9:N10"/>
    <mergeCell ref="O9:O10"/>
    <mergeCell ref="P9:P10"/>
    <mergeCell ref="Q9:Q10"/>
    <mergeCell ref="T9:T10"/>
    <mergeCell ref="U9:U10"/>
  </mergeCells>
  <pageMargins left="0.39370078740157499" right="0" top="0.15748031496063" bottom="0.15748031496063" header="0.31496062992126" footer="0.31496062992126"/>
  <pageSetup paperSize="9" scale="9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69"/>
  <sheetViews>
    <sheetView topLeftCell="A151" zoomScale="115" zoomScaleNormal="115" workbookViewId="0">
      <selection activeCell="S163" sqref="S163"/>
    </sheetView>
  </sheetViews>
  <sheetFormatPr defaultColWidth="9.140625" defaultRowHeight="12.75"/>
  <cols>
    <col min="1" max="1" width="7.7109375" style="104" customWidth="1"/>
    <col min="2" max="2" width="10" style="4" customWidth="1"/>
    <col min="3" max="3" width="28.7109375" style="4" customWidth="1"/>
    <col min="4" max="4" width="10.7109375" style="4" customWidth="1"/>
    <col min="5" max="8" width="4.7109375" style="1" customWidth="1"/>
    <col min="9" max="9" width="4.7109375" style="70" customWidth="1"/>
    <col min="10" max="10" width="4.7109375" style="1" customWidth="1"/>
    <col min="11" max="11" width="4.7109375" style="70" customWidth="1"/>
    <col min="12" max="12" width="4.7109375" style="1" customWidth="1"/>
    <col min="13" max="13" width="4.7109375" style="70" customWidth="1"/>
    <col min="14" max="15" width="4.7109375" style="1" customWidth="1"/>
    <col min="16" max="20" width="5.7109375" style="1" customWidth="1"/>
    <col min="21" max="21" width="3.7109375" style="1" customWidth="1"/>
    <col min="22" max="16384" width="9.140625" style="4"/>
  </cols>
  <sheetData>
    <row r="1" spans="1:21">
      <c r="A1" s="61"/>
      <c r="B1" s="5" t="s">
        <v>0</v>
      </c>
      <c r="C1" s="6"/>
      <c r="I1" s="1"/>
      <c r="K1" s="1"/>
      <c r="M1" s="1"/>
    </row>
    <row r="2" spans="1:21">
      <c r="A2" s="61"/>
      <c r="B2" s="5" t="s">
        <v>1</v>
      </c>
      <c r="C2" s="7"/>
      <c r="I2" s="1"/>
      <c r="K2" s="1"/>
      <c r="M2" s="1"/>
    </row>
    <row r="3" spans="1:21">
      <c r="A3" s="61"/>
      <c r="B3" s="5" t="s">
        <v>2</v>
      </c>
      <c r="C3" s="6"/>
      <c r="I3" s="1"/>
      <c r="K3" s="1"/>
      <c r="M3" s="1"/>
    </row>
    <row r="4" spans="1:21">
      <c r="A4" s="105" t="s">
        <v>3</v>
      </c>
      <c r="B4" s="9"/>
      <c r="C4" s="6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>
      <c r="A5" s="105" t="s">
        <v>4</v>
      </c>
      <c r="B5" s="9"/>
      <c r="C5" s="6"/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61"/>
      <c r="D6" s="5" t="s">
        <v>443</v>
      </c>
      <c r="E6" s="9"/>
      <c r="F6" s="9"/>
      <c r="G6" s="9"/>
      <c r="H6" s="6"/>
      <c r="I6" s="84"/>
      <c r="J6" s="6"/>
      <c r="K6" s="84"/>
      <c r="L6" s="6"/>
      <c r="M6" s="84"/>
      <c r="N6" s="6"/>
      <c r="O6" s="6"/>
      <c r="P6" s="6"/>
      <c r="Q6" s="6"/>
      <c r="R6" s="6"/>
      <c r="S6" s="6"/>
      <c r="T6" s="6"/>
      <c r="U6" s="6"/>
    </row>
    <row r="7" spans="1:21">
      <c r="A7" s="61"/>
      <c r="B7" s="9"/>
      <c r="C7" s="9"/>
      <c r="D7" s="9"/>
      <c r="E7" s="6"/>
      <c r="F7" s="5" t="s">
        <v>5</v>
      </c>
      <c r="G7" s="6"/>
      <c r="H7" s="6"/>
      <c r="I7" s="84"/>
      <c r="J7" s="6"/>
      <c r="K7" s="84"/>
      <c r="L7" s="6"/>
      <c r="M7" s="84"/>
      <c r="N7" s="6"/>
      <c r="O7" s="6"/>
      <c r="P7" s="6"/>
      <c r="Q7" s="6"/>
      <c r="R7" s="6"/>
      <c r="S7" s="6"/>
      <c r="T7" s="6"/>
      <c r="U7" s="6"/>
    </row>
    <row r="8" spans="1:21">
      <c r="A8" s="61"/>
    </row>
    <row r="9" spans="1:21" ht="24" customHeight="1">
      <c r="A9" s="423" t="s">
        <v>6</v>
      </c>
      <c r="B9" s="382" t="s">
        <v>7</v>
      </c>
      <c r="C9" s="418" t="s">
        <v>8</v>
      </c>
      <c r="D9" s="412" t="s">
        <v>9</v>
      </c>
      <c r="E9" s="414" t="s">
        <v>10</v>
      </c>
      <c r="F9" s="416" t="s">
        <v>11</v>
      </c>
      <c r="G9" s="386" t="s">
        <v>12</v>
      </c>
      <c r="H9" s="10" t="s">
        <v>13</v>
      </c>
      <c r="I9" s="73"/>
      <c r="J9" s="37" t="s">
        <v>14</v>
      </c>
      <c r="K9" s="73"/>
      <c r="L9" s="37" t="s">
        <v>15</v>
      </c>
      <c r="M9" s="74"/>
      <c r="N9" s="416" t="s">
        <v>16</v>
      </c>
      <c r="O9" s="382" t="s">
        <v>17</v>
      </c>
      <c r="P9" s="382" t="s">
        <v>18</v>
      </c>
      <c r="Q9" s="382" t="s">
        <v>19</v>
      </c>
      <c r="R9" s="45" t="s">
        <v>20</v>
      </c>
      <c r="S9" s="36"/>
      <c r="T9" s="384" t="s">
        <v>21</v>
      </c>
      <c r="U9" s="386" t="s">
        <v>22</v>
      </c>
    </row>
    <row r="10" spans="1:21" s="1" customFormat="1" ht="87.75" customHeight="1">
      <c r="A10" s="424"/>
      <c r="B10" s="383"/>
      <c r="C10" s="419"/>
      <c r="D10" s="413"/>
      <c r="E10" s="415"/>
      <c r="F10" s="417"/>
      <c r="G10" s="387"/>
      <c r="H10" s="11" t="s">
        <v>23</v>
      </c>
      <c r="I10" s="75" t="s">
        <v>24</v>
      </c>
      <c r="J10" s="11" t="s">
        <v>23</v>
      </c>
      <c r="K10" s="75" t="s">
        <v>24</v>
      </c>
      <c r="L10" s="11" t="s">
        <v>23</v>
      </c>
      <c r="M10" s="75" t="s">
        <v>24</v>
      </c>
      <c r="N10" s="417"/>
      <c r="O10" s="383"/>
      <c r="P10" s="383"/>
      <c r="Q10" s="383"/>
      <c r="R10" s="12" t="s">
        <v>25</v>
      </c>
      <c r="S10" s="46" t="s">
        <v>26</v>
      </c>
      <c r="T10" s="385"/>
      <c r="U10" s="387"/>
    </row>
    <row r="11" spans="1:21" s="2" customFormat="1">
      <c r="A11" s="106">
        <v>1</v>
      </c>
      <c r="B11" s="15">
        <v>2</v>
      </c>
      <c r="C11" s="15">
        <v>3</v>
      </c>
      <c r="D11" s="16">
        <v>4</v>
      </c>
      <c r="E11" s="17">
        <v>5</v>
      </c>
      <c r="F11" s="14">
        <v>6</v>
      </c>
      <c r="G11" s="16">
        <v>7</v>
      </c>
      <c r="H11" s="18">
        <v>8</v>
      </c>
      <c r="I11" s="39">
        <v>9</v>
      </c>
      <c r="J11" s="18">
        <v>10</v>
      </c>
      <c r="K11" s="39">
        <v>11</v>
      </c>
      <c r="L11" s="18">
        <v>12</v>
      </c>
      <c r="M11" s="39">
        <v>13</v>
      </c>
      <c r="N11" s="14">
        <v>14</v>
      </c>
      <c r="O11" s="15">
        <v>15</v>
      </c>
      <c r="P11" s="40">
        <v>16</v>
      </c>
      <c r="Q11" s="40">
        <v>17</v>
      </c>
      <c r="R11" s="40">
        <v>18</v>
      </c>
      <c r="S11" s="39">
        <v>19</v>
      </c>
      <c r="T11" s="18">
        <v>20</v>
      </c>
      <c r="U11" s="39">
        <v>21</v>
      </c>
    </row>
    <row r="12" spans="1:21" ht="38.25">
      <c r="A12" s="216" t="s">
        <v>27</v>
      </c>
      <c r="B12" s="217" t="s">
        <v>66</v>
      </c>
      <c r="C12" s="154" t="s">
        <v>444</v>
      </c>
      <c r="D12" s="60" t="s">
        <v>445</v>
      </c>
      <c r="E12" s="209" t="s">
        <v>67</v>
      </c>
      <c r="F12" s="134">
        <v>1</v>
      </c>
      <c r="G12" s="135">
        <v>3</v>
      </c>
      <c r="H12" s="136">
        <v>45</v>
      </c>
      <c r="I12" s="141">
        <v>45</v>
      </c>
      <c r="J12" s="136">
        <v>45</v>
      </c>
      <c r="K12" s="141">
        <v>135</v>
      </c>
      <c r="L12" s="136"/>
      <c r="M12" s="141"/>
      <c r="N12" s="136"/>
      <c r="O12" s="142"/>
      <c r="P12" s="142"/>
      <c r="Q12" s="142"/>
      <c r="R12" s="142"/>
      <c r="S12" s="144"/>
      <c r="T12" s="136">
        <f>I12+K12+M12+N12+O12+P12+Q12+R12+S12</f>
        <v>180</v>
      </c>
      <c r="U12" s="144">
        <v>8</v>
      </c>
    </row>
    <row r="13" spans="1:21" ht="27" customHeight="1">
      <c r="A13" s="55" t="s">
        <v>27</v>
      </c>
      <c r="B13" s="68" t="s">
        <v>791</v>
      </c>
      <c r="C13" s="55" t="s">
        <v>444</v>
      </c>
      <c r="D13" s="55" t="s">
        <v>446</v>
      </c>
      <c r="E13" s="54" t="s">
        <v>787</v>
      </c>
      <c r="F13" s="54">
        <v>1</v>
      </c>
      <c r="G13" s="54">
        <v>1</v>
      </c>
      <c r="H13" s="56">
        <v>45</v>
      </c>
      <c r="I13" s="78">
        <v>45</v>
      </c>
      <c r="J13" s="56">
        <v>45</v>
      </c>
      <c r="K13" s="78">
        <v>45</v>
      </c>
      <c r="L13" s="56"/>
      <c r="M13" s="78"/>
      <c r="N13" s="56"/>
      <c r="O13" s="56"/>
      <c r="P13" s="56"/>
      <c r="Q13" s="56"/>
      <c r="R13" s="56"/>
      <c r="S13" s="56"/>
      <c r="T13" s="32">
        <f>I13+K13+M13+N13+O13+P13+Q13+R13+S13</f>
        <v>90</v>
      </c>
      <c r="U13" s="43">
        <v>8</v>
      </c>
    </row>
    <row r="14" spans="1:21" ht="27" customHeight="1">
      <c r="A14" s="216" t="s">
        <v>27</v>
      </c>
      <c r="B14" s="59" t="s">
        <v>447</v>
      </c>
      <c r="C14" s="217" t="s">
        <v>448</v>
      </c>
      <c r="D14" s="228" t="s">
        <v>449</v>
      </c>
      <c r="E14" s="209" t="s">
        <v>134</v>
      </c>
      <c r="F14" s="134">
        <v>1</v>
      </c>
      <c r="G14" s="135">
        <v>2</v>
      </c>
      <c r="H14" s="136">
        <v>15</v>
      </c>
      <c r="I14" s="136">
        <v>15</v>
      </c>
      <c r="J14" s="136">
        <v>15</v>
      </c>
      <c r="K14" s="141">
        <v>30</v>
      </c>
      <c r="L14" s="136"/>
      <c r="M14" s="141"/>
      <c r="N14" s="136"/>
      <c r="O14" s="142"/>
      <c r="P14" s="142"/>
      <c r="Q14" s="142"/>
      <c r="R14" s="142"/>
      <c r="S14" s="144"/>
      <c r="T14" s="136">
        <f t="shared" ref="T14:T19" si="0">I14+K14+M14+N14+O14+P14+Q14+R14+S14</f>
        <v>45</v>
      </c>
      <c r="U14" s="144">
        <v>3</v>
      </c>
    </row>
    <row r="15" spans="1:21" ht="25.5">
      <c r="A15" s="216" t="s">
        <v>27</v>
      </c>
      <c r="B15" s="59" t="s">
        <v>450</v>
      </c>
      <c r="C15" s="217" t="s">
        <v>448</v>
      </c>
      <c r="D15" s="228" t="s">
        <v>449</v>
      </c>
      <c r="E15" s="209" t="s">
        <v>210</v>
      </c>
      <c r="F15" s="134">
        <v>1</v>
      </c>
      <c r="G15" s="135">
        <v>2</v>
      </c>
      <c r="H15" s="136">
        <v>15</v>
      </c>
      <c r="I15" s="136">
        <v>15</v>
      </c>
      <c r="J15" s="136">
        <v>15</v>
      </c>
      <c r="K15" s="141">
        <v>30</v>
      </c>
      <c r="L15" s="136"/>
      <c r="M15" s="141"/>
      <c r="N15" s="136"/>
      <c r="O15" s="142"/>
      <c r="P15" s="142"/>
      <c r="Q15" s="142"/>
      <c r="R15" s="142"/>
      <c r="S15" s="144"/>
      <c r="T15" s="136">
        <f t="shared" si="0"/>
        <v>45</v>
      </c>
      <c r="U15" s="144">
        <v>3</v>
      </c>
    </row>
    <row r="16" spans="1:21" ht="38.25">
      <c r="A16" s="216" t="s">
        <v>27</v>
      </c>
      <c r="B16" s="59" t="s">
        <v>451</v>
      </c>
      <c r="C16" s="217" t="s">
        <v>452</v>
      </c>
      <c r="D16" s="228" t="s">
        <v>453</v>
      </c>
      <c r="E16" s="209" t="s">
        <v>131</v>
      </c>
      <c r="F16" s="134">
        <v>1</v>
      </c>
      <c r="G16" s="135">
        <v>2</v>
      </c>
      <c r="H16" s="136">
        <v>30</v>
      </c>
      <c r="I16" s="136">
        <v>30</v>
      </c>
      <c r="J16" s="136">
        <v>10</v>
      </c>
      <c r="K16" s="141">
        <v>20</v>
      </c>
      <c r="L16" s="136">
        <v>5</v>
      </c>
      <c r="M16" s="141">
        <v>10</v>
      </c>
      <c r="N16" s="136"/>
      <c r="O16" s="142"/>
      <c r="P16" s="142"/>
      <c r="Q16" s="142"/>
      <c r="R16" s="142"/>
      <c r="S16" s="144"/>
      <c r="T16" s="136">
        <f t="shared" si="0"/>
        <v>60</v>
      </c>
      <c r="U16" s="144">
        <v>5</v>
      </c>
    </row>
    <row r="17" spans="1:21" ht="25.5">
      <c r="A17" s="216" t="s">
        <v>27</v>
      </c>
      <c r="B17" s="59" t="s">
        <v>454</v>
      </c>
      <c r="C17" s="217" t="s">
        <v>452</v>
      </c>
      <c r="D17" s="228" t="s">
        <v>453</v>
      </c>
      <c r="E17" s="209" t="s">
        <v>126</v>
      </c>
      <c r="F17" s="134">
        <v>1</v>
      </c>
      <c r="G17" s="135">
        <v>2</v>
      </c>
      <c r="H17" s="136">
        <v>30</v>
      </c>
      <c r="I17" s="141">
        <v>30</v>
      </c>
      <c r="J17" s="136">
        <v>10</v>
      </c>
      <c r="K17" s="141">
        <v>20</v>
      </c>
      <c r="L17" s="136">
        <v>5</v>
      </c>
      <c r="M17" s="141">
        <v>10</v>
      </c>
      <c r="N17" s="136"/>
      <c r="O17" s="142"/>
      <c r="P17" s="142"/>
      <c r="Q17" s="142"/>
      <c r="R17" s="142"/>
      <c r="S17" s="144"/>
      <c r="T17" s="136">
        <f t="shared" si="0"/>
        <v>60</v>
      </c>
      <c r="U17" s="144">
        <v>5</v>
      </c>
    </row>
    <row r="18" spans="1:21" ht="27" customHeight="1">
      <c r="A18" s="216" t="s">
        <v>27</v>
      </c>
      <c r="B18" s="59" t="s">
        <v>455</v>
      </c>
      <c r="C18" s="217" t="s">
        <v>456</v>
      </c>
      <c r="D18" s="60" t="s">
        <v>457</v>
      </c>
      <c r="E18" s="209">
        <v>40</v>
      </c>
      <c r="F18" s="134">
        <v>1</v>
      </c>
      <c r="G18" s="135">
        <v>1</v>
      </c>
      <c r="H18" s="136">
        <v>15</v>
      </c>
      <c r="I18" s="141">
        <v>15</v>
      </c>
      <c r="J18" s="136">
        <v>15</v>
      </c>
      <c r="K18" s="141">
        <v>15</v>
      </c>
      <c r="L18" s="136"/>
      <c r="M18" s="141"/>
      <c r="N18" s="136"/>
      <c r="O18" s="142"/>
      <c r="P18" s="142"/>
      <c r="Q18" s="142"/>
      <c r="R18" s="142"/>
      <c r="S18" s="144"/>
      <c r="T18" s="136">
        <f t="shared" si="0"/>
        <v>30</v>
      </c>
      <c r="U18" s="144">
        <v>4</v>
      </c>
    </row>
    <row r="19" spans="1:21">
      <c r="A19" s="216" t="s">
        <v>27</v>
      </c>
      <c r="B19" s="59" t="s">
        <v>458</v>
      </c>
      <c r="C19" s="217" t="s">
        <v>456</v>
      </c>
      <c r="D19" s="60" t="s">
        <v>457</v>
      </c>
      <c r="E19" s="209">
        <v>25</v>
      </c>
      <c r="F19" s="134">
        <v>1</v>
      </c>
      <c r="G19" s="135">
        <v>1</v>
      </c>
      <c r="H19" s="136">
        <v>15</v>
      </c>
      <c r="I19" s="141">
        <v>15</v>
      </c>
      <c r="J19" s="136">
        <v>15</v>
      </c>
      <c r="K19" s="141">
        <v>15</v>
      </c>
      <c r="L19" s="136"/>
      <c r="M19" s="141"/>
      <c r="N19" s="136"/>
      <c r="O19" s="142"/>
      <c r="P19" s="142"/>
      <c r="Q19" s="142"/>
      <c r="R19" s="142"/>
      <c r="S19" s="144"/>
      <c r="T19" s="136">
        <f t="shared" si="0"/>
        <v>30</v>
      </c>
      <c r="U19" s="144">
        <v>4</v>
      </c>
    </row>
    <row r="20" spans="1:21" ht="27" customHeight="1">
      <c r="A20" s="216" t="s">
        <v>27</v>
      </c>
      <c r="B20" s="59" t="s">
        <v>455</v>
      </c>
      <c r="C20" s="217" t="s">
        <v>459</v>
      </c>
      <c r="D20" s="60" t="s">
        <v>457</v>
      </c>
      <c r="E20" s="209">
        <v>40</v>
      </c>
      <c r="F20" s="134">
        <v>1</v>
      </c>
      <c r="G20" s="135">
        <v>1</v>
      </c>
      <c r="H20" s="136">
        <v>15</v>
      </c>
      <c r="I20" s="141">
        <v>15</v>
      </c>
      <c r="J20" s="136">
        <v>15</v>
      </c>
      <c r="K20" s="141">
        <v>15</v>
      </c>
      <c r="L20" s="136"/>
      <c r="M20" s="141"/>
      <c r="N20" s="136"/>
      <c r="O20" s="142"/>
      <c r="P20" s="142"/>
      <c r="Q20" s="142"/>
      <c r="R20" s="142"/>
      <c r="S20" s="144"/>
      <c r="T20" s="136">
        <f>(I20+K20+M20+N20+O20+P20+Q20+R20+S20)</f>
        <v>30</v>
      </c>
      <c r="U20" s="144">
        <v>4</v>
      </c>
    </row>
    <row r="21" spans="1:21" ht="27" customHeight="1">
      <c r="A21" s="216" t="s">
        <v>27</v>
      </c>
      <c r="B21" s="59" t="s">
        <v>458</v>
      </c>
      <c r="C21" s="217" t="s">
        <v>459</v>
      </c>
      <c r="D21" s="60" t="s">
        <v>457</v>
      </c>
      <c r="E21" s="209">
        <v>25</v>
      </c>
      <c r="F21" s="134">
        <v>1</v>
      </c>
      <c r="G21" s="135">
        <v>1</v>
      </c>
      <c r="H21" s="136">
        <v>15</v>
      </c>
      <c r="I21" s="141">
        <v>15</v>
      </c>
      <c r="J21" s="136">
        <v>15</v>
      </c>
      <c r="K21" s="141">
        <v>15</v>
      </c>
      <c r="L21" s="136"/>
      <c r="M21" s="141"/>
      <c r="N21" s="136"/>
      <c r="O21" s="142"/>
      <c r="P21" s="142"/>
      <c r="Q21" s="142"/>
      <c r="R21" s="142"/>
      <c r="S21" s="144"/>
      <c r="T21" s="136">
        <f>(I21+K21+M21+N21+O21+P21+Q21+R21+S21)</f>
        <v>30</v>
      </c>
      <c r="U21" s="144">
        <v>4</v>
      </c>
    </row>
    <row r="22" spans="1:21" ht="18" customHeight="1">
      <c r="A22" s="216" t="s">
        <v>27</v>
      </c>
      <c r="B22" s="59" t="s">
        <v>455</v>
      </c>
      <c r="C22" s="217" t="s">
        <v>452</v>
      </c>
      <c r="D22" s="60" t="s">
        <v>457</v>
      </c>
      <c r="E22" s="209">
        <v>40</v>
      </c>
      <c r="F22" s="134">
        <v>1</v>
      </c>
      <c r="G22" s="135">
        <v>1</v>
      </c>
      <c r="H22" s="136">
        <v>30</v>
      </c>
      <c r="I22" s="136">
        <v>30</v>
      </c>
      <c r="J22" s="136">
        <v>10</v>
      </c>
      <c r="K22" s="136">
        <v>10</v>
      </c>
      <c r="L22" s="136">
        <v>5</v>
      </c>
      <c r="M22" s="136">
        <v>5</v>
      </c>
      <c r="N22" s="136"/>
      <c r="O22" s="142"/>
      <c r="P22" s="142"/>
      <c r="Q22" s="142"/>
      <c r="R22" s="142"/>
      <c r="S22" s="144"/>
      <c r="T22" s="136">
        <f t="shared" ref="T22:T28" si="1">I22+K22+M22+N22+O22+P22+Q22+R22+S22</f>
        <v>45</v>
      </c>
      <c r="U22" s="144">
        <v>3</v>
      </c>
    </row>
    <row r="23" spans="1:21" ht="18" customHeight="1">
      <c r="A23" s="216" t="s">
        <v>27</v>
      </c>
      <c r="B23" s="59" t="s">
        <v>458</v>
      </c>
      <c r="C23" s="217" t="s">
        <v>452</v>
      </c>
      <c r="D23" s="60" t="s">
        <v>457</v>
      </c>
      <c r="E23" s="209">
        <v>25</v>
      </c>
      <c r="F23" s="134">
        <v>1</v>
      </c>
      <c r="G23" s="135">
        <v>1</v>
      </c>
      <c r="H23" s="136">
        <v>30</v>
      </c>
      <c r="I23" s="136">
        <v>30</v>
      </c>
      <c r="J23" s="136">
        <v>10</v>
      </c>
      <c r="K23" s="136">
        <v>10</v>
      </c>
      <c r="L23" s="136">
        <v>5</v>
      </c>
      <c r="M23" s="136">
        <v>5</v>
      </c>
      <c r="N23" s="136"/>
      <c r="O23" s="142"/>
      <c r="P23" s="142"/>
      <c r="Q23" s="142"/>
      <c r="R23" s="142"/>
      <c r="S23" s="144"/>
      <c r="T23" s="136">
        <f t="shared" si="1"/>
        <v>45</v>
      </c>
      <c r="U23" s="144">
        <v>3</v>
      </c>
    </row>
    <row r="24" spans="1:21" ht="38.25">
      <c r="A24" s="216" t="s">
        <v>27</v>
      </c>
      <c r="B24" s="217" t="s">
        <v>460</v>
      </c>
      <c r="C24" s="217" t="s">
        <v>452</v>
      </c>
      <c r="D24" s="60" t="s">
        <v>461</v>
      </c>
      <c r="E24" s="209" t="s">
        <v>118</v>
      </c>
      <c r="F24" s="134">
        <v>1</v>
      </c>
      <c r="G24" s="135">
        <v>2</v>
      </c>
      <c r="H24" s="136">
        <v>30</v>
      </c>
      <c r="I24" s="141">
        <v>30</v>
      </c>
      <c r="J24" s="136">
        <v>10</v>
      </c>
      <c r="K24" s="141">
        <v>20</v>
      </c>
      <c r="L24" s="136">
        <v>5</v>
      </c>
      <c r="M24" s="141">
        <v>10</v>
      </c>
      <c r="N24" s="136"/>
      <c r="O24" s="142"/>
      <c r="P24" s="142"/>
      <c r="Q24" s="142"/>
      <c r="R24" s="142"/>
      <c r="S24" s="144"/>
      <c r="T24" s="136">
        <f t="shared" si="1"/>
        <v>60</v>
      </c>
      <c r="U24" s="144">
        <v>5</v>
      </c>
    </row>
    <row r="25" spans="1:21" ht="38.25">
      <c r="A25" s="216" t="s">
        <v>27</v>
      </c>
      <c r="B25" s="240" t="s">
        <v>462</v>
      </c>
      <c r="C25" s="217" t="s">
        <v>452</v>
      </c>
      <c r="D25" s="60" t="s">
        <v>461</v>
      </c>
      <c r="E25" s="209" t="s">
        <v>99</v>
      </c>
      <c r="F25" s="134">
        <v>1</v>
      </c>
      <c r="G25" s="135">
        <v>2</v>
      </c>
      <c r="H25" s="136">
        <v>30</v>
      </c>
      <c r="I25" s="136">
        <v>30</v>
      </c>
      <c r="J25" s="136">
        <v>10</v>
      </c>
      <c r="K25" s="141">
        <v>20</v>
      </c>
      <c r="L25" s="136">
        <v>5</v>
      </c>
      <c r="M25" s="141">
        <v>10</v>
      </c>
      <c r="N25" s="136"/>
      <c r="O25" s="142"/>
      <c r="P25" s="142"/>
      <c r="Q25" s="142"/>
      <c r="R25" s="142"/>
      <c r="S25" s="144"/>
      <c r="T25" s="136">
        <f t="shared" si="1"/>
        <v>60</v>
      </c>
      <c r="U25" s="144">
        <v>5</v>
      </c>
    </row>
    <row r="26" spans="1:21">
      <c r="A26" s="216" t="s">
        <v>27</v>
      </c>
      <c r="B26" s="217" t="s">
        <v>463</v>
      </c>
      <c r="C26" s="71" t="s">
        <v>464</v>
      </c>
      <c r="D26" s="266" t="s">
        <v>100</v>
      </c>
      <c r="E26" s="209">
        <v>40</v>
      </c>
      <c r="F26" s="134">
        <v>1</v>
      </c>
      <c r="G26" s="135">
        <v>1</v>
      </c>
      <c r="H26" s="136">
        <v>30</v>
      </c>
      <c r="I26" s="136">
        <v>30</v>
      </c>
      <c r="J26" s="136">
        <v>30</v>
      </c>
      <c r="K26" s="141">
        <v>30</v>
      </c>
      <c r="L26" s="136"/>
      <c r="M26" s="141"/>
      <c r="N26" s="136"/>
      <c r="O26" s="142"/>
      <c r="P26" s="142"/>
      <c r="Q26" s="142"/>
      <c r="R26" s="142"/>
      <c r="S26" s="144"/>
      <c r="T26" s="136">
        <f t="shared" si="1"/>
        <v>60</v>
      </c>
      <c r="U26" s="144">
        <v>6</v>
      </c>
    </row>
    <row r="27" spans="1:21">
      <c r="A27" s="216" t="s">
        <v>27</v>
      </c>
      <c r="B27" s="217" t="s">
        <v>465</v>
      </c>
      <c r="C27" s="71" t="s">
        <v>464</v>
      </c>
      <c r="D27" s="60" t="s">
        <v>100</v>
      </c>
      <c r="E27" s="209">
        <v>25</v>
      </c>
      <c r="F27" s="134">
        <v>1</v>
      </c>
      <c r="G27" s="135">
        <v>1</v>
      </c>
      <c r="H27" s="136">
        <v>30</v>
      </c>
      <c r="I27" s="136">
        <v>30</v>
      </c>
      <c r="J27" s="136">
        <v>30</v>
      </c>
      <c r="K27" s="141">
        <v>30</v>
      </c>
      <c r="L27" s="136"/>
      <c r="M27" s="141"/>
      <c r="N27" s="136"/>
      <c r="O27" s="142"/>
      <c r="P27" s="142"/>
      <c r="Q27" s="142"/>
      <c r="R27" s="142"/>
      <c r="S27" s="144"/>
      <c r="T27" s="136">
        <f t="shared" si="1"/>
        <v>60</v>
      </c>
      <c r="U27" s="144">
        <v>6</v>
      </c>
    </row>
    <row r="28" spans="1:21" ht="25.5">
      <c r="A28" s="216" t="s">
        <v>27</v>
      </c>
      <c r="B28" s="240" t="s">
        <v>466</v>
      </c>
      <c r="C28" s="217" t="s">
        <v>448</v>
      </c>
      <c r="D28" s="60" t="s">
        <v>467</v>
      </c>
      <c r="E28" s="209" t="s">
        <v>468</v>
      </c>
      <c r="F28" s="134">
        <v>1</v>
      </c>
      <c r="G28" s="135">
        <v>2</v>
      </c>
      <c r="H28" s="136">
        <v>15</v>
      </c>
      <c r="I28" s="136">
        <v>15</v>
      </c>
      <c r="J28" s="136">
        <v>15</v>
      </c>
      <c r="K28" s="141">
        <v>30</v>
      </c>
      <c r="L28" s="136"/>
      <c r="M28" s="141"/>
      <c r="N28" s="136"/>
      <c r="O28" s="142"/>
      <c r="P28" s="142"/>
      <c r="Q28" s="142"/>
      <c r="R28" s="142"/>
      <c r="S28" s="144"/>
      <c r="T28" s="136">
        <f t="shared" si="1"/>
        <v>45</v>
      </c>
      <c r="U28" s="144">
        <v>4</v>
      </c>
    </row>
    <row r="29" spans="1:21">
      <c r="A29" s="216" t="s">
        <v>27</v>
      </c>
      <c r="B29" s="217" t="s">
        <v>469</v>
      </c>
      <c r="C29" s="154" t="s">
        <v>470</v>
      </c>
      <c r="D29" s="60" t="s">
        <v>80</v>
      </c>
      <c r="E29" s="209">
        <v>20</v>
      </c>
      <c r="F29" s="134">
        <v>1</v>
      </c>
      <c r="G29" s="135">
        <v>1</v>
      </c>
      <c r="H29" s="136">
        <v>30</v>
      </c>
      <c r="I29" s="136">
        <v>30</v>
      </c>
      <c r="J29" s="136">
        <v>30</v>
      </c>
      <c r="K29" s="141">
        <v>30</v>
      </c>
      <c r="L29" s="136"/>
      <c r="M29" s="141"/>
      <c r="N29" s="136"/>
      <c r="O29" s="142"/>
      <c r="P29" s="142"/>
      <c r="Q29" s="142"/>
      <c r="R29" s="142"/>
      <c r="S29" s="144"/>
      <c r="T29" s="136">
        <f>(I29+K29+M29+N29+O29+P29+Q29+R29+S29)</f>
        <v>60</v>
      </c>
      <c r="U29" s="144">
        <v>5</v>
      </c>
    </row>
    <row r="30" spans="1:21">
      <c r="A30" s="216" t="s">
        <v>27</v>
      </c>
      <c r="B30" s="217" t="s">
        <v>127</v>
      </c>
      <c r="C30" s="139" t="s">
        <v>471</v>
      </c>
      <c r="D30" s="60" t="s">
        <v>81</v>
      </c>
      <c r="E30" s="209">
        <v>30</v>
      </c>
      <c r="F30" s="134">
        <v>1</v>
      </c>
      <c r="G30" s="135">
        <v>1</v>
      </c>
      <c r="H30" s="136">
        <v>45</v>
      </c>
      <c r="I30" s="136">
        <v>45</v>
      </c>
      <c r="J30" s="136">
        <v>30</v>
      </c>
      <c r="K30" s="141">
        <v>30</v>
      </c>
      <c r="L30" s="136"/>
      <c r="M30" s="141"/>
      <c r="N30" s="136"/>
      <c r="O30" s="142"/>
      <c r="P30" s="142"/>
      <c r="Q30" s="142"/>
      <c r="R30" s="142"/>
      <c r="S30" s="144"/>
      <c r="T30" s="136">
        <f t="shared" ref="T30:T34" si="2">I30+K30+M30+N30+O30+P30+Q30+R30+S30</f>
        <v>75</v>
      </c>
      <c r="U30" s="144">
        <v>7</v>
      </c>
    </row>
    <row r="31" spans="1:21" ht="24" customHeight="1">
      <c r="A31" s="26" t="s">
        <v>27</v>
      </c>
      <c r="B31" s="27" t="s">
        <v>472</v>
      </c>
      <c r="C31" s="27" t="s">
        <v>473</v>
      </c>
      <c r="D31" s="28" t="s">
        <v>136</v>
      </c>
      <c r="E31" s="29" t="s">
        <v>793</v>
      </c>
      <c r="F31" s="30">
        <v>1</v>
      </c>
      <c r="G31" s="31">
        <v>3</v>
      </c>
      <c r="H31" s="32">
        <v>30</v>
      </c>
      <c r="I31" s="32">
        <v>30</v>
      </c>
      <c r="J31" s="32">
        <v>30</v>
      </c>
      <c r="K31" s="107">
        <v>90</v>
      </c>
      <c r="L31" s="32"/>
      <c r="M31" s="107"/>
      <c r="N31" s="32"/>
      <c r="O31" s="44"/>
      <c r="P31" s="44"/>
      <c r="Q31" s="44"/>
      <c r="R31" s="44"/>
      <c r="S31" s="43"/>
      <c r="T31" s="32">
        <f t="shared" si="2"/>
        <v>120</v>
      </c>
      <c r="U31" s="43">
        <v>5</v>
      </c>
    </row>
    <row r="32" spans="1:21" ht="24" customHeight="1">
      <c r="A32" s="71" t="s">
        <v>27</v>
      </c>
      <c r="B32" s="71" t="s">
        <v>135</v>
      </c>
      <c r="C32" s="71" t="s">
        <v>474</v>
      </c>
      <c r="D32" s="71" t="s">
        <v>136</v>
      </c>
      <c r="E32" s="72">
        <v>50</v>
      </c>
      <c r="F32" s="72">
        <v>1</v>
      </c>
      <c r="G32" s="72">
        <v>2</v>
      </c>
      <c r="H32" s="140">
        <v>45</v>
      </c>
      <c r="I32" s="140">
        <v>45</v>
      </c>
      <c r="J32" s="140">
        <v>15</v>
      </c>
      <c r="K32" s="143">
        <v>30</v>
      </c>
      <c r="L32" s="140">
        <v>15</v>
      </c>
      <c r="M32" s="143">
        <v>30</v>
      </c>
      <c r="N32" s="140"/>
      <c r="O32" s="140"/>
      <c r="P32" s="140"/>
      <c r="Q32" s="140"/>
      <c r="R32" s="140"/>
      <c r="S32" s="140"/>
      <c r="T32" s="140">
        <f t="shared" si="2"/>
        <v>105</v>
      </c>
      <c r="U32" s="140">
        <v>7</v>
      </c>
    </row>
    <row r="33" spans="1:21" ht="36" customHeight="1">
      <c r="A33" s="216" t="s">
        <v>27</v>
      </c>
      <c r="B33" s="217" t="s">
        <v>92</v>
      </c>
      <c r="C33" s="217" t="s">
        <v>448</v>
      </c>
      <c r="D33" s="60" t="s">
        <v>93</v>
      </c>
      <c r="E33" s="209">
        <v>20</v>
      </c>
      <c r="F33" s="267">
        <v>1</v>
      </c>
      <c r="G33" s="238">
        <v>1</v>
      </c>
      <c r="H33" s="268">
        <v>30</v>
      </c>
      <c r="I33" s="268">
        <v>30</v>
      </c>
      <c r="J33" s="268">
        <v>15</v>
      </c>
      <c r="K33" s="269">
        <v>15</v>
      </c>
      <c r="L33" s="136"/>
      <c r="M33" s="141"/>
      <c r="N33" s="136"/>
      <c r="O33" s="142"/>
      <c r="P33" s="142"/>
      <c r="Q33" s="142"/>
      <c r="R33" s="142"/>
      <c r="S33" s="144"/>
      <c r="T33" s="136">
        <f t="shared" si="2"/>
        <v>45</v>
      </c>
      <c r="U33" s="144">
        <v>4</v>
      </c>
    </row>
    <row r="34" spans="1:21" ht="24" customHeight="1">
      <c r="A34" s="216" t="s">
        <v>27</v>
      </c>
      <c r="B34" s="217" t="s">
        <v>94</v>
      </c>
      <c r="C34" s="217" t="s">
        <v>448</v>
      </c>
      <c r="D34" s="60" t="s">
        <v>93</v>
      </c>
      <c r="E34" s="209">
        <v>20</v>
      </c>
      <c r="F34" s="134">
        <v>1</v>
      </c>
      <c r="G34" s="135">
        <v>1</v>
      </c>
      <c r="H34" s="268">
        <v>30</v>
      </c>
      <c r="I34" s="268">
        <v>30</v>
      </c>
      <c r="J34" s="268">
        <v>15</v>
      </c>
      <c r="K34" s="269">
        <v>15</v>
      </c>
      <c r="L34" s="136"/>
      <c r="M34" s="141"/>
      <c r="N34" s="136"/>
      <c r="O34" s="142"/>
      <c r="P34" s="142"/>
      <c r="Q34" s="142"/>
      <c r="R34" s="142"/>
      <c r="S34" s="144"/>
      <c r="T34" s="136">
        <f t="shared" si="2"/>
        <v>45</v>
      </c>
      <c r="U34" s="144">
        <v>4</v>
      </c>
    </row>
    <row r="35" spans="1:21" ht="25.5">
      <c r="A35" s="26" t="s">
        <v>27</v>
      </c>
      <c r="B35" s="244" t="s">
        <v>288</v>
      </c>
      <c r="C35" s="27" t="s">
        <v>475</v>
      </c>
      <c r="D35" s="28" t="s">
        <v>290</v>
      </c>
      <c r="E35" s="29">
        <v>35</v>
      </c>
      <c r="F35" s="30">
        <v>1</v>
      </c>
      <c r="G35" s="31">
        <v>1</v>
      </c>
      <c r="H35" s="32">
        <v>30</v>
      </c>
      <c r="I35" s="32">
        <v>30</v>
      </c>
      <c r="J35" s="32">
        <v>15</v>
      </c>
      <c r="K35" s="107">
        <v>15</v>
      </c>
      <c r="L35" s="32"/>
      <c r="M35" s="107"/>
      <c r="N35" s="32"/>
      <c r="O35" s="44"/>
      <c r="P35" s="44"/>
      <c r="Q35" s="44"/>
      <c r="R35" s="44"/>
      <c r="S35" s="43"/>
      <c r="T35" s="32">
        <f>(I35+K35+M35+N35+O35+P35+Q35+R35+S35)</f>
        <v>45</v>
      </c>
      <c r="U35" s="43">
        <v>5</v>
      </c>
    </row>
    <row r="36" spans="1:21" ht="25.5">
      <c r="A36" s="216" t="s">
        <v>27</v>
      </c>
      <c r="B36" s="217" t="s">
        <v>91</v>
      </c>
      <c r="C36" s="217" t="s">
        <v>475</v>
      </c>
      <c r="D36" s="60" t="s">
        <v>476</v>
      </c>
      <c r="E36" s="209">
        <v>20</v>
      </c>
      <c r="F36" s="134">
        <v>1</v>
      </c>
      <c r="G36" s="135">
        <v>1</v>
      </c>
      <c r="H36" s="136">
        <v>30</v>
      </c>
      <c r="I36" s="136">
        <v>30</v>
      </c>
      <c r="J36" s="136">
        <v>30</v>
      </c>
      <c r="K36" s="141">
        <v>30</v>
      </c>
      <c r="L36" s="136"/>
      <c r="M36" s="141"/>
      <c r="N36" s="136"/>
      <c r="O36" s="142"/>
      <c r="P36" s="142"/>
      <c r="Q36" s="142"/>
      <c r="R36" s="142"/>
      <c r="S36" s="144"/>
      <c r="T36" s="136">
        <f>(I36+K36+M36+N36+O36+P36+Q36+R36+S36)</f>
        <v>60</v>
      </c>
      <c r="U36" s="144">
        <v>5</v>
      </c>
    </row>
    <row r="37" spans="1:21" ht="25.5">
      <c r="A37" s="216" t="s">
        <v>27</v>
      </c>
      <c r="B37" s="240" t="s">
        <v>291</v>
      </c>
      <c r="C37" s="217" t="s">
        <v>475</v>
      </c>
      <c r="D37" s="60" t="s">
        <v>290</v>
      </c>
      <c r="E37" s="209">
        <v>25</v>
      </c>
      <c r="F37" s="134">
        <v>1</v>
      </c>
      <c r="G37" s="135">
        <v>1</v>
      </c>
      <c r="H37" s="136">
        <v>30</v>
      </c>
      <c r="I37" s="136">
        <v>30</v>
      </c>
      <c r="J37" s="136">
        <v>15</v>
      </c>
      <c r="K37" s="141">
        <v>15</v>
      </c>
      <c r="L37" s="136"/>
      <c r="M37" s="141"/>
      <c r="N37" s="136"/>
      <c r="O37" s="142"/>
      <c r="P37" s="142"/>
      <c r="Q37" s="142"/>
      <c r="R37" s="142"/>
      <c r="S37" s="144"/>
      <c r="T37" s="136">
        <f>(I37+K37+M37+N37+O37+P37+Q37+R37+S37)</f>
        <v>45</v>
      </c>
      <c r="U37" s="144">
        <v>5</v>
      </c>
    </row>
    <row r="38" spans="1:21" ht="37.5" customHeight="1">
      <c r="A38" s="216" t="s">
        <v>27</v>
      </c>
      <c r="B38" s="240" t="s">
        <v>292</v>
      </c>
      <c r="C38" s="217" t="s">
        <v>452</v>
      </c>
      <c r="D38" s="60" t="s">
        <v>294</v>
      </c>
      <c r="E38" s="209">
        <v>50</v>
      </c>
      <c r="F38" s="134">
        <v>1</v>
      </c>
      <c r="G38" s="135">
        <v>2</v>
      </c>
      <c r="H38" s="222">
        <v>30</v>
      </c>
      <c r="I38" s="222">
        <v>30</v>
      </c>
      <c r="J38" s="222">
        <v>10</v>
      </c>
      <c r="K38" s="270">
        <v>20</v>
      </c>
      <c r="L38" s="136">
        <v>5</v>
      </c>
      <c r="M38" s="141">
        <v>10</v>
      </c>
      <c r="N38" s="136"/>
      <c r="O38" s="142"/>
      <c r="P38" s="142"/>
      <c r="Q38" s="142"/>
      <c r="R38" s="142"/>
      <c r="S38" s="144"/>
      <c r="T38" s="136">
        <f t="shared" ref="T38:T42" si="3">I38+K38+M38+N38+O38+P38+Q38+R38+S38</f>
        <v>60</v>
      </c>
      <c r="U38" s="144">
        <v>5</v>
      </c>
    </row>
    <row r="39" spans="1:21" ht="25.5">
      <c r="A39" s="216" t="s">
        <v>27</v>
      </c>
      <c r="B39" s="240" t="s">
        <v>477</v>
      </c>
      <c r="C39" s="71" t="s">
        <v>478</v>
      </c>
      <c r="D39" s="60" t="s">
        <v>457</v>
      </c>
      <c r="E39" s="209">
        <v>29</v>
      </c>
      <c r="F39" s="134">
        <v>1</v>
      </c>
      <c r="G39" s="135">
        <v>1</v>
      </c>
      <c r="H39" s="136">
        <v>30</v>
      </c>
      <c r="I39" s="136">
        <v>30</v>
      </c>
      <c r="J39" s="136">
        <v>15</v>
      </c>
      <c r="K39" s="144">
        <v>15</v>
      </c>
      <c r="L39" s="136"/>
      <c r="M39" s="144"/>
      <c r="N39" s="136"/>
      <c r="O39" s="142"/>
      <c r="P39" s="142"/>
      <c r="Q39" s="142"/>
      <c r="R39" s="142"/>
      <c r="S39" s="144"/>
      <c r="T39" s="136">
        <f t="shared" si="3"/>
        <v>45</v>
      </c>
      <c r="U39" s="144">
        <v>4</v>
      </c>
    </row>
    <row r="40" spans="1:21" ht="25.5">
      <c r="A40" s="216" t="s">
        <v>27</v>
      </c>
      <c r="B40" s="217" t="s">
        <v>479</v>
      </c>
      <c r="C40" s="71" t="s">
        <v>478</v>
      </c>
      <c r="D40" s="60" t="s">
        <v>457</v>
      </c>
      <c r="E40" s="209">
        <v>31</v>
      </c>
      <c r="F40" s="134">
        <v>1</v>
      </c>
      <c r="G40" s="135">
        <v>1</v>
      </c>
      <c r="H40" s="136">
        <v>30</v>
      </c>
      <c r="I40" s="136">
        <v>30</v>
      </c>
      <c r="J40" s="136">
        <v>15</v>
      </c>
      <c r="K40" s="144">
        <v>15</v>
      </c>
      <c r="L40" s="136"/>
      <c r="M40" s="144"/>
      <c r="N40" s="136"/>
      <c r="O40" s="142"/>
      <c r="P40" s="142"/>
      <c r="Q40" s="142"/>
      <c r="R40" s="142"/>
      <c r="S40" s="144"/>
      <c r="T40" s="136">
        <f t="shared" si="3"/>
        <v>45</v>
      </c>
      <c r="U40" s="144">
        <v>4</v>
      </c>
    </row>
    <row r="41" spans="1:21" ht="36.75" customHeight="1">
      <c r="A41" s="216" t="s">
        <v>27</v>
      </c>
      <c r="B41" s="240" t="s">
        <v>477</v>
      </c>
      <c r="C41" s="71" t="s">
        <v>480</v>
      </c>
      <c r="D41" s="60" t="s">
        <v>457</v>
      </c>
      <c r="E41" s="209">
        <v>29</v>
      </c>
      <c r="F41" s="134">
        <v>1</v>
      </c>
      <c r="G41" s="135">
        <v>1</v>
      </c>
      <c r="H41" s="136">
        <v>30</v>
      </c>
      <c r="I41" s="136">
        <v>30</v>
      </c>
      <c r="J41" s="136">
        <v>30</v>
      </c>
      <c r="K41" s="141">
        <v>30</v>
      </c>
      <c r="L41" s="136"/>
      <c r="M41" s="141"/>
      <c r="N41" s="136"/>
      <c r="O41" s="142"/>
      <c r="P41" s="142"/>
      <c r="Q41" s="142"/>
      <c r="R41" s="142"/>
      <c r="S41" s="144"/>
      <c r="T41" s="136">
        <f t="shared" si="3"/>
        <v>60</v>
      </c>
      <c r="U41" s="144">
        <v>6</v>
      </c>
    </row>
    <row r="42" spans="1:21" ht="36.75" customHeight="1">
      <c r="A42" s="216" t="s">
        <v>27</v>
      </c>
      <c r="B42" s="217" t="s">
        <v>479</v>
      </c>
      <c r="C42" s="71" t="s">
        <v>480</v>
      </c>
      <c r="D42" s="60" t="s">
        <v>457</v>
      </c>
      <c r="E42" s="209">
        <v>31</v>
      </c>
      <c r="F42" s="134">
        <v>1</v>
      </c>
      <c r="G42" s="135">
        <v>1</v>
      </c>
      <c r="H42" s="136">
        <v>30</v>
      </c>
      <c r="I42" s="136">
        <v>30</v>
      </c>
      <c r="J42" s="136">
        <v>30</v>
      </c>
      <c r="K42" s="141">
        <v>30</v>
      </c>
      <c r="L42" s="136"/>
      <c r="M42" s="141"/>
      <c r="N42" s="136"/>
      <c r="O42" s="142"/>
      <c r="P42" s="142"/>
      <c r="Q42" s="142"/>
      <c r="R42" s="142"/>
      <c r="S42" s="144"/>
      <c r="T42" s="136">
        <f t="shared" si="3"/>
        <v>60</v>
      </c>
      <c r="U42" s="144">
        <v>6</v>
      </c>
    </row>
    <row r="43" spans="1:21" ht="25.5">
      <c r="A43" s="216" t="s">
        <v>27</v>
      </c>
      <c r="B43" s="217" t="s">
        <v>481</v>
      </c>
      <c r="C43" s="217" t="s">
        <v>482</v>
      </c>
      <c r="D43" s="266" t="s">
        <v>100</v>
      </c>
      <c r="E43" s="209">
        <v>29</v>
      </c>
      <c r="F43" s="134">
        <v>1</v>
      </c>
      <c r="G43" s="135">
        <v>1</v>
      </c>
      <c r="H43" s="136">
        <v>30</v>
      </c>
      <c r="I43" s="136">
        <v>30</v>
      </c>
      <c r="J43" s="136">
        <v>15</v>
      </c>
      <c r="K43" s="141">
        <v>15</v>
      </c>
      <c r="L43" s="136"/>
      <c r="M43" s="141"/>
      <c r="N43" s="136"/>
      <c r="O43" s="142"/>
      <c r="P43" s="142"/>
      <c r="Q43" s="142"/>
      <c r="R43" s="142"/>
      <c r="S43" s="144"/>
      <c r="T43" s="136">
        <f>(I43+K43+M43+N43+O43+P43+Q43+R43+S43)</f>
        <v>45</v>
      </c>
      <c r="U43" s="144">
        <v>5</v>
      </c>
    </row>
    <row r="44" spans="1:21" ht="25.5">
      <c r="A44" s="216" t="s">
        <v>27</v>
      </c>
      <c r="B44" s="217" t="s">
        <v>483</v>
      </c>
      <c r="C44" s="71" t="s">
        <v>482</v>
      </c>
      <c r="D44" s="266" t="s">
        <v>100</v>
      </c>
      <c r="E44" s="209">
        <v>21</v>
      </c>
      <c r="F44" s="134">
        <v>1</v>
      </c>
      <c r="G44" s="135">
        <v>1</v>
      </c>
      <c r="H44" s="136">
        <v>30</v>
      </c>
      <c r="I44" s="136">
        <v>30</v>
      </c>
      <c r="J44" s="136">
        <v>15</v>
      </c>
      <c r="K44" s="141">
        <v>15</v>
      </c>
      <c r="L44" s="136"/>
      <c r="M44" s="141"/>
      <c r="N44" s="136"/>
      <c r="O44" s="142"/>
      <c r="P44" s="142"/>
      <c r="Q44" s="142"/>
      <c r="R44" s="142"/>
      <c r="S44" s="144"/>
      <c r="T44" s="136">
        <f>(I44+K44+M44+N44+O44+P44+Q44+R44+S44)</f>
        <v>45</v>
      </c>
      <c r="U44" s="144">
        <v>5</v>
      </c>
    </row>
    <row r="45" spans="1:21" ht="63.75">
      <c r="A45" s="216" t="s">
        <v>27</v>
      </c>
      <c r="B45" s="217" t="s">
        <v>484</v>
      </c>
      <c r="C45" s="217" t="s">
        <v>485</v>
      </c>
      <c r="D45" s="60" t="s">
        <v>486</v>
      </c>
      <c r="E45" s="209" t="s">
        <v>487</v>
      </c>
      <c r="F45" s="134">
        <v>1</v>
      </c>
      <c r="G45" s="135">
        <v>2</v>
      </c>
      <c r="H45" s="136">
        <v>30</v>
      </c>
      <c r="I45" s="144">
        <v>30</v>
      </c>
      <c r="J45" s="136">
        <v>15</v>
      </c>
      <c r="K45" s="144">
        <v>30</v>
      </c>
      <c r="L45" s="136"/>
      <c r="M45" s="144"/>
      <c r="N45" s="136"/>
      <c r="O45" s="142"/>
      <c r="P45" s="142"/>
      <c r="Q45" s="142"/>
      <c r="R45" s="142"/>
      <c r="S45" s="144"/>
      <c r="T45" s="222">
        <f>I45+K45+M45</f>
        <v>60</v>
      </c>
      <c r="U45" s="144">
        <v>4</v>
      </c>
    </row>
    <row r="46" spans="1:21" ht="25.5">
      <c r="A46" s="216" t="s">
        <v>27</v>
      </c>
      <c r="B46" s="217" t="s">
        <v>393</v>
      </c>
      <c r="C46" s="71" t="s">
        <v>488</v>
      </c>
      <c r="D46" s="60" t="s">
        <v>80</v>
      </c>
      <c r="E46" s="209">
        <v>17</v>
      </c>
      <c r="F46" s="134">
        <v>1</v>
      </c>
      <c r="G46" s="135">
        <v>1</v>
      </c>
      <c r="H46" s="136">
        <v>45</v>
      </c>
      <c r="I46" s="141">
        <v>45</v>
      </c>
      <c r="J46" s="136">
        <v>30</v>
      </c>
      <c r="K46" s="141">
        <v>30</v>
      </c>
      <c r="L46" s="136"/>
      <c r="M46" s="141"/>
      <c r="N46" s="136"/>
      <c r="O46" s="142"/>
      <c r="P46" s="142"/>
      <c r="Q46" s="142"/>
      <c r="R46" s="142"/>
      <c r="S46" s="144"/>
      <c r="T46" s="136">
        <f>(I46+K46+M46+N46+O46+P46+Q46+R46+S46)</f>
        <v>75</v>
      </c>
      <c r="U46" s="144">
        <v>6</v>
      </c>
    </row>
    <row r="47" spans="1:21" ht="38.25">
      <c r="A47" s="271" t="s">
        <v>27</v>
      </c>
      <c r="B47" s="71" t="s">
        <v>393</v>
      </c>
      <c r="C47" s="71" t="s">
        <v>489</v>
      </c>
      <c r="D47" s="71" t="s">
        <v>80</v>
      </c>
      <c r="E47" s="72">
        <v>17</v>
      </c>
      <c r="F47" s="72">
        <v>1</v>
      </c>
      <c r="G47" s="72">
        <v>1</v>
      </c>
      <c r="H47" s="140">
        <v>45</v>
      </c>
      <c r="I47" s="143">
        <v>45</v>
      </c>
      <c r="J47" s="140">
        <v>30</v>
      </c>
      <c r="K47" s="143">
        <v>30</v>
      </c>
      <c r="L47" s="226"/>
      <c r="M47" s="141"/>
      <c r="N47" s="136"/>
      <c r="O47" s="142"/>
      <c r="P47" s="142"/>
      <c r="Q47" s="142"/>
      <c r="R47" s="142"/>
      <c r="S47" s="144"/>
      <c r="T47" s="136">
        <f>(I47+K47+M47+N47+O47+P47+Q47+R47+S47)</f>
        <v>75</v>
      </c>
      <c r="U47" s="144">
        <v>6</v>
      </c>
    </row>
    <row r="48" spans="1:21" ht="38.25">
      <c r="A48" s="216" t="s">
        <v>27</v>
      </c>
      <c r="B48" s="217" t="s">
        <v>393</v>
      </c>
      <c r="C48" s="71" t="s">
        <v>490</v>
      </c>
      <c r="D48" s="60" t="s">
        <v>80</v>
      </c>
      <c r="E48" s="209">
        <v>17</v>
      </c>
      <c r="F48" s="267">
        <v>1</v>
      </c>
      <c r="G48" s="238">
        <v>1</v>
      </c>
      <c r="H48" s="268">
        <v>30</v>
      </c>
      <c r="I48" s="238">
        <v>30</v>
      </c>
      <c r="J48" s="268">
        <v>30</v>
      </c>
      <c r="K48" s="269">
        <v>30</v>
      </c>
      <c r="L48" s="136"/>
      <c r="M48" s="141"/>
      <c r="N48" s="136"/>
      <c r="O48" s="142"/>
      <c r="P48" s="142"/>
      <c r="Q48" s="142"/>
      <c r="R48" s="142"/>
      <c r="S48" s="144"/>
      <c r="T48" s="136">
        <f>I48+K48+M48+N48+O48+P48+Q48+R48+S48</f>
        <v>60</v>
      </c>
      <c r="U48" s="144">
        <v>6</v>
      </c>
    </row>
    <row r="49" spans="1:21">
      <c r="A49" s="216" t="s">
        <v>27</v>
      </c>
      <c r="B49" s="240" t="s">
        <v>160</v>
      </c>
      <c r="C49" s="71" t="s">
        <v>485</v>
      </c>
      <c r="D49" s="60" t="s">
        <v>136</v>
      </c>
      <c r="E49" s="209">
        <v>37</v>
      </c>
      <c r="F49" s="134">
        <v>1</v>
      </c>
      <c r="G49" s="135">
        <v>1</v>
      </c>
      <c r="H49" s="136">
        <v>30</v>
      </c>
      <c r="I49" s="141">
        <v>30</v>
      </c>
      <c r="J49" s="136">
        <v>30</v>
      </c>
      <c r="K49" s="141">
        <v>30</v>
      </c>
      <c r="L49" s="136"/>
      <c r="M49" s="141"/>
      <c r="N49" s="136"/>
      <c r="O49" s="142"/>
      <c r="P49" s="142"/>
      <c r="Q49" s="142"/>
      <c r="R49" s="142"/>
      <c r="S49" s="144"/>
      <c r="T49" s="136">
        <f>I49+K49+M49+N49+O49+P49+Q49+R49+S49</f>
        <v>60</v>
      </c>
      <c r="U49" s="144">
        <v>6</v>
      </c>
    </row>
    <row r="50" spans="1:21" ht="30">
      <c r="A50" s="216" t="s">
        <v>27</v>
      </c>
      <c r="B50" s="217" t="s">
        <v>491</v>
      </c>
      <c r="C50" s="272" t="s">
        <v>492</v>
      </c>
      <c r="D50" s="60" t="s">
        <v>93</v>
      </c>
      <c r="E50" s="209">
        <v>25</v>
      </c>
      <c r="F50" s="134">
        <v>1</v>
      </c>
      <c r="G50" s="135">
        <v>1</v>
      </c>
      <c r="H50" s="136">
        <v>45</v>
      </c>
      <c r="I50" s="141">
        <v>45</v>
      </c>
      <c r="J50" s="136">
        <v>30</v>
      </c>
      <c r="K50" s="141">
        <v>30</v>
      </c>
      <c r="L50" s="136"/>
      <c r="M50" s="141"/>
      <c r="N50" s="136"/>
      <c r="O50" s="142"/>
      <c r="P50" s="142"/>
      <c r="Q50" s="142"/>
      <c r="R50" s="142"/>
      <c r="S50" s="144"/>
      <c r="T50" s="136">
        <f>(I50+K50+M50+N50+O50+P50+Q50+R50+S50)</f>
        <v>75</v>
      </c>
      <c r="U50" s="144">
        <v>6</v>
      </c>
    </row>
    <row r="51" spans="1:21" ht="30">
      <c r="A51" s="216" t="s">
        <v>27</v>
      </c>
      <c r="B51" s="217" t="s">
        <v>491</v>
      </c>
      <c r="C51" s="273" t="s">
        <v>493</v>
      </c>
      <c r="D51" s="60" t="s">
        <v>93</v>
      </c>
      <c r="E51" s="209">
        <v>25</v>
      </c>
      <c r="F51" s="134">
        <v>1</v>
      </c>
      <c r="G51" s="135">
        <v>1</v>
      </c>
      <c r="H51" s="136">
        <v>45</v>
      </c>
      <c r="I51" s="141">
        <v>45</v>
      </c>
      <c r="J51" s="136">
        <v>30</v>
      </c>
      <c r="K51" s="141">
        <v>30</v>
      </c>
      <c r="L51" s="136"/>
      <c r="M51" s="141"/>
      <c r="N51" s="136"/>
      <c r="O51" s="142"/>
      <c r="P51" s="142"/>
      <c r="Q51" s="142"/>
      <c r="R51" s="142"/>
      <c r="S51" s="144"/>
      <c r="T51" s="136">
        <f>(I51+K51+M51+N51+O51+P51+Q51+R51+S51)</f>
        <v>75</v>
      </c>
      <c r="U51" s="144">
        <v>6</v>
      </c>
    </row>
    <row r="52" spans="1:21" ht="51">
      <c r="A52" s="216" t="s">
        <v>27</v>
      </c>
      <c r="B52" s="217" t="s">
        <v>491</v>
      </c>
      <c r="C52" s="217" t="s">
        <v>494</v>
      </c>
      <c r="D52" s="60" t="s">
        <v>93</v>
      </c>
      <c r="E52" s="209">
        <v>25</v>
      </c>
      <c r="F52" s="134">
        <v>1</v>
      </c>
      <c r="G52" s="135">
        <v>1</v>
      </c>
      <c r="H52" s="136">
        <v>30</v>
      </c>
      <c r="I52" s="136">
        <v>30</v>
      </c>
      <c r="J52" s="136">
        <v>30</v>
      </c>
      <c r="K52" s="141">
        <v>30</v>
      </c>
      <c r="L52" s="136"/>
      <c r="M52" s="141"/>
      <c r="N52" s="136"/>
      <c r="O52" s="142"/>
      <c r="P52" s="142"/>
      <c r="Q52" s="142"/>
      <c r="R52" s="142"/>
      <c r="S52" s="144"/>
      <c r="T52" s="136">
        <f>I52+K52+M52+N52+O52+P52+Q52+R52+S52</f>
        <v>60</v>
      </c>
      <c r="U52" s="144">
        <v>5</v>
      </c>
    </row>
    <row r="53" spans="1:21" ht="51" customHeight="1">
      <c r="A53" s="216" t="s">
        <v>27</v>
      </c>
      <c r="B53" s="217" t="s">
        <v>491</v>
      </c>
      <c r="C53" s="217" t="s">
        <v>495</v>
      </c>
      <c r="D53" s="60" t="s">
        <v>93</v>
      </c>
      <c r="E53" s="209">
        <v>25</v>
      </c>
      <c r="F53" s="134">
        <v>1</v>
      </c>
      <c r="G53" s="135">
        <v>1</v>
      </c>
      <c r="H53" s="136">
        <v>30</v>
      </c>
      <c r="I53" s="136">
        <v>30</v>
      </c>
      <c r="J53" s="136">
        <v>30</v>
      </c>
      <c r="K53" s="141">
        <v>30</v>
      </c>
      <c r="L53" s="136"/>
      <c r="M53" s="141"/>
      <c r="N53" s="136"/>
      <c r="O53" s="142"/>
      <c r="P53" s="142"/>
      <c r="Q53" s="142"/>
      <c r="R53" s="142"/>
      <c r="S53" s="144"/>
      <c r="T53" s="136">
        <f>I53+K53+M53+N53+O53+P53+Q53+R53+S53</f>
        <v>60</v>
      </c>
      <c r="U53" s="144">
        <v>6</v>
      </c>
    </row>
    <row r="54" spans="1:21" ht="38.25">
      <c r="A54" s="216" t="s">
        <v>27</v>
      </c>
      <c r="B54" s="217" t="s">
        <v>496</v>
      </c>
      <c r="C54" s="139" t="s">
        <v>497</v>
      </c>
      <c r="D54" s="228" t="s">
        <v>78</v>
      </c>
      <c r="E54" s="209">
        <v>25</v>
      </c>
      <c r="F54" s="134">
        <v>1</v>
      </c>
      <c r="G54" s="135">
        <v>1</v>
      </c>
      <c r="H54" s="136">
        <v>15</v>
      </c>
      <c r="I54" s="136">
        <v>15</v>
      </c>
      <c r="J54" s="136">
        <v>15</v>
      </c>
      <c r="K54" s="141">
        <v>15</v>
      </c>
      <c r="L54" s="136"/>
      <c r="M54" s="141"/>
      <c r="N54" s="136"/>
      <c r="O54" s="142"/>
      <c r="P54" s="142"/>
      <c r="Q54" s="142"/>
      <c r="R54" s="142"/>
      <c r="S54" s="144"/>
      <c r="T54" s="136">
        <f>I54+K54+M54+N54+O54+P54+Q54+R54+S54</f>
        <v>30</v>
      </c>
      <c r="U54" s="144">
        <v>3</v>
      </c>
    </row>
    <row r="55" spans="1:21">
      <c r="A55" s="216" t="s">
        <v>27</v>
      </c>
      <c r="B55" s="217" t="s">
        <v>498</v>
      </c>
      <c r="C55" s="217" t="s">
        <v>499</v>
      </c>
      <c r="D55" s="60" t="s">
        <v>457</v>
      </c>
      <c r="E55" s="209">
        <v>30</v>
      </c>
      <c r="F55" s="134">
        <v>1</v>
      </c>
      <c r="G55" s="135">
        <v>1</v>
      </c>
      <c r="H55" s="136">
        <v>30</v>
      </c>
      <c r="I55" s="136">
        <v>30</v>
      </c>
      <c r="J55" s="136">
        <v>30</v>
      </c>
      <c r="K55" s="141">
        <v>30</v>
      </c>
      <c r="L55" s="222"/>
      <c r="M55" s="270"/>
      <c r="N55" s="222"/>
      <c r="O55" s="140"/>
      <c r="P55" s="140"/>
      <c r="Q55" s="140"/>
      <c r="R55" s="140"/>
      <c r="S55" s="223"/>
      <c r="T55" s="136">
        <f>(I55+K55+M55+N55+O55+P55+Q55+R55+S55)</f>
        <v>60</v>
      </c>
      <c r="U55" s="223">
        <v>5</v>
      </c>
    </row>
    <row r="56" spans="1:21" ht="63.75">
      <c r="A56" s="71" t="s">
        <v>27</v>
      </c>
      <c r="B56" s="71" t="s">
        <v>65</v>
      </c>
      <c r="C56" s="71" t="s">
        <v>500</v>
      </c>
      <c r="D56" s="71" t="s">
        <v>64</v>
      </c>
      <c r="E56" s="72">
        <v>17</v>
      </c>
      <c r="F56" s="72">
        <v>1</v>
      </c>
      <c r="G56" s="72">
        <v>1</v>
      </c>
      <c r="H56" s="140">
        <v>15</v>
      </c>
      <c r="I56" s="140">
        <v>15</v>
      </c>
      <c r="J56" s="140">
        <v>15</v>
      </c>
      <c r="K56" s="143">
        <v>15</v>
      </c>
      <c r="L56" s="140"/>
      <c r="M56" s="143"/>
      <c r="N56" s="140"/>
      <c r="O56" s="140"/>
      <c r="P56" s="140"/>
      <c r="Q56" s="140"/>
      <c r="R56" s="140"/>
      <c r="S56" s="140"/>
      <c r="T56" s="140">
        <f>I56+K56+M56+N56+O56+P56+Q56+R56+S56</f>
        <v>30</v>
      </c>
      <c r="U56" s="140">
        <v>3</v>
      </c>
    </row>
    <row r="57" spans="1:21">
      <c r="A57" s="216" t="s">
        <v>27</v>
      </c>
      <c r="B57" s="217" t="s">
        <v>501</v>
      </c>
      <c r="C57" s="271" t="s">
        <v>502</v>
      </c>
      <c r="D57" s="60" t="s">
        <v>80</v>
      </c>
      <c r="E57" s="209">
        <v>6</v>
      </c>
      <c r="F57" s="134">
        <v>1</v>
      </c>
      <c r="G57" s="135">
        <v>1</v>
      </c>
      <c r="H57" s="136">
        <v>45</v>
      </c>
      <c r="I57" s="136">
        <v>45</v>
      </c>
      <c r="J57" s="136">
        <v>45</v>
      </c>
      <c r="K57" s="141">
        <v>45</v>
      </c>
      <c r="L57" s="136"/>
      <c r="M57" s="141"/>
      <c r="N57" s="136"/>
      <c r="O57" s="142"/>
      <c r="P57" s="142"/>
      <c r="Q57" s="142"/>
      <c r="R57" s="142"/>
      <c r="S57" s="144"/>
      <c r="T57" s="136">
        <f t="shared" ref="T57:T72" si="4">(I57+K57+M57+N57+O57+P57+Q57+R57+S57)</f>
        <v>90</v>
      </c>
      <c r="U57" s="144">
        <v>7</v>
      </c>
    </row>
    <row r="58" spans="1:21">
      <c r="A58" s="216" t="s">
        <v>27</v>
      </c>
      <c r="B58" s="217" t="s">
        <v>501</v>
      </c>
      <c r="C58" s="271" t="s">
        <v>503</v>
      </c>
      <c r="D58" s="60" t="s">
        <v>80</v>
      </c>
      <c r="E58" s="209">
        <v>6</v>
      </c>
      <c r="F58" s="134">
        <v>1</v>
      </c>
      <c r="G58" s="135">
        <v>1</v>
      </c>
      <c r="H58" s="136">
        <v>30</v>
      </c>
      <c r="I58" s="136">
        <v>30</v>
      </c>
      <c r="J58" s="136">
        <v>30</v>
      </c>
      <c r="K58" s="141">
        <v>30</v>
      </c>
      <c r="L58" s="136"/>
      <c r="M58" s="141"/>
      <c r="N58" s="136"/>
      <c r="O58" s="142"/>
      <c r="P58" s="142"/>
      <c r="Q58" s="142"/>
      <c r="R58" s="142"/>
      <c r="S58" s="144"/>
      <c r="T58" s="136">
        <f t="shared" si="4"/>
        <v>60</v>
      </c>
      <c r="U58" s="144">
        <v>6</v>
      </c>
    </row>
    <row r="59" spans="1:21">
      <c r="A59" s="271" t="s">
        <v>27</v>
      </c>
      <c r="B59" s="71" t="s">
        <v>501</v>
      </c>
      <c r="C59" s="71" t="s">
        <v>504</v>
      </c>
      <c r="D59" s="71" t="s">
        <v>80</v>
      </c>
      <c r="E59" s="72">
        <v>6</v>
      </c>
      <c r="F59" s="72">
        <v>1</v>
      </c>
      <c r="G59" s="72">
        <v>1</v>
      </c>
      <c r="H59" s="140">
        <v>30</v>
      </c>
      <c r="I59" s="140">
        <v>30</v>
      </c>
      <c r="J59" s="140">
        <v>30</v>
      </c>
      <c r="K59" s="143">
        <v>30</v>
      </c>
      <c r="L59" s="226"/>
      <c r="M59" s="141"/>
      <c r="N59" s="136"/>
      <c r="O59" s="142"/>
      <c r="P59" s="142"/>
      <c r="Q59" s="142"/>
      <c r="R59" s="142"/>
      <c r="S59" s="144"/>
      <c r="T59" s="136">
        <f t="shared" si="4"/>
        <v>60</v>
      </c>
      <c r="U59" s="144">
        <v>5</v>
      </c>
    </row>
    <row r="60" spans="1:21" ht="51">
      <c r="A60" s="216" t="s">
        <v>27</v>
      </c>
      <c r="B60" s="217" t="s">
        <v>501</v>
      </c>
      <c r="C60" s="271" t="s">
        <v>505</v>
      </c>
      <c r="D60" s="60" t="s">
        <v>80</v>
      </c>
      <c r="E60" s="209">
        <v>6</v>
      </c>
      <c r="F60" s="134">
        <v>1</v>
      </c>
      <c r="G60" s="135">
        <v>1</v>
      </c>
      <c r="H60" s="136">
        <v>30</v>
      </c>
      <c r="I60" s="136">
        <v>30</v>
      </c>
      <c r="J60" s="136">
        <v>15</v>
      </c>
      <c r="K60" s="141">
        <v>15</v>
      </c>
      <c r="L60" s="136"/>
      <c r="M60" s="141"/>
      <c r="N60" s="136"/>
      <c r="O60" s="142"/>
      <c r="P60" s="142"/>
      <c r="Q60" s="142"/>
      <c r="R60" s="142"/>
      <c r="S60" s="144"/>
      <c r="T60" s="136">
        <f t="shared" si="4"/>
        <v>45</v>
      </c>
      <c r="U60" s="144">
        <v>4</v>
      </c>
    </row>
    <row r="61" spans="1:21" ht="38.25">
      <c r="A61" s="216" t="s">
        <v>27</v>
      </c>
      <c r="B61" s="217" t="s">
        <v>501</v>
      </c>
      <c r="C61" s="271" t="s">
        <v>506</v>
      </c>
      <c r="D61" s="60" t="s">
        <v>80</v>
      </c>
      <c r="E61" s="209">
        <v>6</v>
      </c>
      <c r="F61" s="134">
        <v>1</v>
      </c>
      <c r="G61" s="135">
        <v>1</v>
      </c>
      <c r="H61" s="136">
        <v>30</v>
      </c>
      <c r="I61" s="136">
        <v>30</v>
      </c>
      <c r="J61" s="136">
        <v>15</v>
      </c>
      <c r="K61" s="141">
        <v>15</v>
      </c>
      <c r="L61" s="136"/>
      <c r="M61" s="141"/>
      <c r="N61" s="136"/>
      <c r="O61" s="142"/>
      <c r="P61" s="142"/>
      <c r="Q61" s="142"/>
      <c r="R61" s="142"/>
      <c r="S61" s="144"/>
      <c r="T61" s="136">
        <f t="shared" si="4"/>
        <v>45</v>
      </c>
      <c r="U61" s="144">
        <v>4</v>
      </c>
    </row>
    <row r="62" spans="1:21" ht="38.25">
      <c r="A62" s="216" t="s">
        <v>27</v>
      </c>
      <c r="B62" s="217" t="s">
        <v>501</v>
      </c>
      <c r="C62" s="271" t="s">
        <v>507</v>
      </c>
      <c r="D62" s="60" t="s">
        <v>80</v>
      </c>
      <c r="E62" s="209">
        <v>6</v>
      </c>
      <c r="F62" s="134">
        <v>1</v>
      </c>
      <c r="G62" s="135">
        <v>1</v>
      </c>
      <c r="H62" s="136">
        <v>30</v>
      </c>
      <c r="I62" s="136">
        <v>30</v>
      </c>
      <c r="J62" s="136">
        <v>15</v>
      </c>
      <c r="K62" s="141">
        <v>15</v>
      </c>
      <c r="L62" s="136"/>
      <c r="M62" s="141"/>
      <c r="N62" s="136"/>
      <c r="O62" s="142"/>
      <c r="P62" s="142"/>
      <c r="Q62" s="142"/>
      <c r="R62" s="142"/>
      <c r="S62" s="144"/>
      <c r="T62" s="136">
        <f t="shared" si="4"/>
        <v>45</v>
      </c>
      <c r="U62" s="144">
        <v>4</v>
      </c>
    </row>
    <row r="63" spans="1:21">
      <c r="A63" s="216" t="s">
        <v>27</v>
      </c>
      <c r="B63" s="217" t="s">
        <v>163</v>
      </c>
      <c r="C63" s="139" t="s">
        <v>508</v>
      </c>
      <c r="D63" s="71" t="s">
        <v>29</v>
      </c>
      <c r="E63" s="209">
        <v>13</v>
      </c>
      <c r="F63" s="134">
        <v>1</v>
      </c>
      <c r="G63" s="135">
        <v>1</v>
      </c>
      <c r="H63" s="136">
        <v>15</v>
      </c>
      <c r="I63" s="136">
        <v>15</v>
      </c>
      <c r="J63" s="136">
        <v>15</v>
      </c>
      <c r="K63" s="144">
        <v>15</v>
      </c>
      <c r="L63" s="136"/>
      <c r="M63" s="144"/>
      <c r="N63" s="136"/>
      <c r="O63" s="142"/>
      <c r="P63" s="142"/>
      <c r="Q63" s="142"/>
      <c r="R63" s="142"/>
      <c r="S63" s="144"/>
      <c r="T63" s="136">
        <f t="shared" si="4"/>
        <v>30</v>
      </c>
      <c r="U63" s="144">
        <v>4</v>
      </c>
    </row>
    <row r="64" spans="1:21">
      <c r="A64" s="216" t="s">
        <v>27</v>
      </c>
      <c r="B64" s="217" t="s">
        <v>165</v>
      </c>
      <c r="C64" s="139" t="s">
        <v>508</v>
      </c>
      <c r="D64" s="71" t="s">
        <v>29</v>
      </c>
      <c r="E64" s="209">
        <v>24</v>
      </c>
      <c r="F64" s="134">
        <v>1</v>
      </c>
      <c r="G64" s="135">
        <v>1</v>
      </c>
      <c r="H64" s="136">
        <v>15</v>
      </c>
      <c r="I64" s="136">
        <v>15</v>
      </c>
      <c r="J64" s="136">
        <v>15</v>
      </c>
      <c r="K64" s="144">
        <v>15</v>
      </c>
      <c r="L64" s="136"/>
      <c r="M64" s="144"/>
      <c r="N64" s="136"/>
      <c r="O64" s="142"/>
      <c r="P64" s="142"/>
      <c r="Q64" s="142"/>
      <c r="R64" s="142"/>
      <c r="S64" s="144"/>
      <c r="T64" s="136">
        <f t="shared" si="4"/>
        <v>30</v>
      </c>
      <c r="U64" s="144">
        <v>4</v>
      </c>
    </row>
    <row r="65" spans="1:21" ht="76.5">
      <c r="A65" s="216" t="s">
        <v>27</v>
      </c>
      <c r="B65" s="240" t="s">
        <v>509</v>
      </c>
      <c r="C65" s="217" t="s">
        <v>510</v>
      </c>
      <c r="D65" s="228" t="s">
        <v>449</v>
      </c>
      <c r="E65" s="209" t="s">
        <v>511</v>
      </c>
      <c r="F65" s="134">
        <v>1</v>
      </c>
      <c r="G65" s="135">
        <v>1</v>
      </c>
      <c r="H65" s="136">
        <v>30</v>
      </c>
      <c r="I65" s="136">
        <v>30</v>
      </c>
      <c r="J65" s="136">
        <v>15</v>
      </c>
      <c r="K65" s="144">
        <v>15</v>
      </c>
      <c r="L65" s="136"/>
      <c r="M65" s="144"/>
      <c r="N65" s="136"/>
      <c r="O65" s="142"/>
      <c r="P65" s="142"/>
      <c r="Q65" s="142"/>
      <c r="R65" s="142"/>
      <c r="S65" s="144"/>
      <c r="T65" s="136">
        <f t="shared" si="4"/>
        <v>45</v>
      </c>
      <c r="U65" s="144">
        <v>4</v>
      </c>
    </row>
    <row r="66" spans="1:21" ht="38.25">
      <c r="A66" s="216" t="s">
        <v>27</v>
      </c>
      <c r="B66" s="240" t="s">
        <v>512</v>
      </c>
      <c r="C66" s="145" t="s">
        <v>513</v>
      </c>
      <c r="D66" s="71" t="s">
        <v>78</v>
      </c>
      <c r="E66" s="218">
        <v>21</v>
      </c>
      <c r="F66" s="134">
        <v>1</v>
      </c>
      <c r="G66" s="135">
        <v>1</v>
      </c>
      <c r="H66" s="136">
        <v>30</v>
      </c>
      <c r="I66" s="141">
        <v>30</v>
      </c>
      <c r="J66" s="136">
        <v>30</v>
      </c>
      <c r="K66" s="141">
        <v>30</v>
      </c>
      <c r="L66" s="136"/>
      <c r="M66" s="141"/>
      <c r="N66" s="136"/>
      <c r="O66" s="142"/>
      <c r="P66" s="142"/>
      <c r="Q66" s="142"/>
      <c r="R66" s="142"/>
      <c r="S66" s="144"/>
      <c r="T66" s="136">
        <f t="shared" si="4"/>
        <v>60</v>
      </c>
      <c r="U66" s="144">
        <v>6</v>
      </c>
    </row>
    <row r="67" spans="1:21" ht="38.25">
      <c r="A67" s="216" t="s">
        <v>27</v>
      </c>
      <c r="B67" s="240" t="s">
        <v>514</v>
      </c>
      <c r="C67" s="145" t="s">
        <v>513</v>
      </c>
      <c r="D67" s="71" t="s">
        <v>78</v>
      </c>
      <c r="E67" s="218">
        <v>8</v>
      </c>
      <c r="F67" s="134">
        <v>1</v>
      </c>
      <c r="G67" s="135">
        <v>1</v>
      </c>
      <c r="H67" s="136">
        <v>30</v>
      </c>
      <c r="I67" s="141">
        <v>30</v>
      </c>
      <c r="J67" s="136">
        <v>30</v>
      </c>
      <c r="K67" s="141">
        <v>30</v>
      </c>
      <c r="L67" s="136"/>
      <c r="M67" s="141"/>
      <c r="N67" s="136"/>
      <c r="O67" s="142"/>
      <c r="P67" s="142"/>
      <c r="Q67" s="142"/>
      <c r="R67" s="142"/>
      <c r="S67" s="144"/>
      <c r="T67" s="136">
        <f t="shared" si="4"/>
        <v>60</v>
      </c>
      <c r="U67" s="144">
        <v>6</v>
      </c>
    </row>
    <row r="68" spans="1:21" ht="51">
      <c r="A68" s="216" t="s">
        <v>27</v>
      </c>
      <c r="B68" s="215" t="s">
        <v>515</v>
      </c>
      <c r="C68" s="71" t="s">
        <v>516</v>
      </c>
      <c r="D68" s="60" t="s">
        <v>457</v>
      </c>
      <c r="E68" s="209">
        <v>8</v>
      </c>
      <c r="F68" s="134">
        <v>1</v>
      </c>
      <c r="G68" s="135">
        <v>1</v>
      </c>
      <c r="H68" s="136">
        <v>30</v>
      </c>
      <c r="I68" s="136">
        <v>30</v>
      </c>
      <c r="J68" s="136">
        <v>30</v>
      </c>
      <c r="K68" s="136">
        <v>30</v>
      </c>
      <c r="L68" s="136"/>
      <c r="M68" s="141"/>
      <c r="N68" s="136"/>
      <c r="O68" s="142"/>
      <c r="P68" s="142"/>
      <c r="Q68" s="142"/>
      <c r="R68" s="142"/>
      <c r="S68" s="144"/>
      <c r="T68" s="136">
        <f t="shared" si="4"/>
        <v>60</v>
      </c>
      <c r="U68" s="144">
        <v>6</v>
      </c>
    </row>
    <row r="69" spans="1:21" ht="51">
      <c r="A69" s="216" t="s">
        <v>27</v>
      </c>
      <c r="B69" s="215" t="s">
        <v>517</v>
      </c>
      <c r="C69" s="274" t="s">
        <v>518</v>
      </c>
      <c r="D69" s="60" t="s">
        <v>457</v>
      </c>
      <c r="E69" s="209">
        <v>13</v>
      </c>
      <c r="F69" s="134">
        <v>1</v>
      </c>
      <c r="G69" s="135">
        <v>1</v>
      </c>
      <c r="H69" s="136">
        <v>30</v>
      </c>
      <c r="I69" s="136">
        <v>30</v>
      </c>
      <c r="J69" s="136">
        <v>15</v>
      </c>
      <c r="K69" s="136">
        <v>15</v>
      </c>
      <c r="L69" s="136"/>
      <c r="M69" s="144"/>
      <c r="N69" s="136"/>
      <c r="O69" s="142"/>
      <c r="P69" s="142"/>
      <c r="Q69" s="142"/>
      <c r="R69" s="142"/>
      <c r="S69" s="144"/>
      <c r="T69" s="136">
        <f t="shared" si="4"/>
        <v>45</v>
      </c>
      <c r="U69" s="144">
        <v>4</v>
      </c>
    </row>
    <row r="70" spans="1:21">
      <c r="A70" s="79" t="s">
        <v>27</v>
      </c>
      <c r="B70" s="243" t="s">
        <v>519</v>
      </c>
      <c r="C70" s="51" t="s">
        <v>520</v>
      </c>
      <c r="D70" s="51" t="s">
        <v>78</v>
      </c>
      <c r="E70" s="50">
        <v>21</v>
      </c>
      <c r="F70" s="50">
        <v>1</v>
      </c>
      <c r="G70" s="50">
        <v>1</v>
      </c>
      <c r="H70" s="53">
        <v>30</v>
      </c>
      <c r="I70" s="53">
        <v>30</v>
      </c>
      <c r="J70" s="53">
        <v>15</v>
      </c>
      <c r="K70" s="53">
        <v>15</v>
      </c>
      <c r="L70" s="108"/>
      <c r="M70" s="41"/>
      <c r="N70" s="25"/>
      <c r="O70" s="42"/>
      <c r="P70" s="42"/>
      <c r="Q70" s="42"/>
      <c r="R70" s="42"/>
      <c r="S70" s="41"/>
      <c r="T70" s="25">
        <f t="shared" si="4"/>
        <v>45</v>
      </c>
      <c r="U70" s="41">
        <v>4</v>
      </c>
    </row>
    <row r="71" spans="1:21">
      <c r="A71" s="51" t="s">
        <v>27</v>
      </c>
      <c r="B71" s="243" t="s">
        <v>515</v>
      </c>
      <c r="C71" s="51" t="s">
        <v>520</v>
      </c>
      <c r="D71" s="51" t="s">
        <v>78</v>
      </c>
      <c r="E71" s="50">
        <v>8</v>
      </c>
      <c r="F71" s="50">
        <v>1</v>
      </c>
      <c r="G71" s="50">
        <v>1</v>
      </c>
      <c r="H71" s="53">
        <v>30</v>
      </c>
      <c r="I71" s="53">
        <v>30</v>
      </c>
      <c r="J71" s="53">
        <v>15</v>
      </c>
      <c r="K71" s="53">
        <v>15</v>
      </c>
      <c r="L71" s="53"/>
      <c r="M71" s="53"/>
      <c r="N71" s="53"/>
      <c r="O71" s="53"/>
      <c r="P71" s="53"/>
      <c r="Q71" s="53"/>
      <c r="R71" s="53"/>
      <c r="S71" s="53"/>
      <c r="T71" s="53">
        <f t="shared" si="4"/>
        <v>45</v>
      </c>
      <c r="U71" s="53">
        <v>4</v>
      </c>
    </row>
    <row r="72" spans="1:21" ht="25.5">
      <c r="A72" s="51" t="s">
        <v>27</v>
      </c>
      <c r="B72" s="51" t="s">
        <v>90</v>
      </c>
      <c r="C72" s="51" t="s">
        <v>452</v>
      </c>
      <c r="D72" s="51" t="s">
        <v>521</v>
      </c>
      <c r="E72" s="50">
        <v>20</v>
      </c>
      <c r="F72" s="50">
        <v>1</v>
      </c>
      <c r="G72" s="50">
        <v>1</v>
      </c>
      <c r="H72" s="53">
        <v>30</v>
      </c>
      <c r="I72" s="53">
        <v>30</v>
      </c>
      <c r="J72" s="53"/>
      <c r="K72" s="53"/>
      <c r="L72" s="53">
        <v>30</v>
      </c>
      <c r="M72" s="53">
        <v>30</v>
      </c>
      <c r="N72" s="53"/>
      <c r="O72" s="53"/>
      <c r="P72" s="53"/>
      <c r="Q72" s="53"/>
      <c r="R72" s="53"/>
      <c r="S72" s="53"/>
      <c r="T72" s="53">
        <f t="shared" si="4"/>
        <v>60</v>
      </c>
      <c r="U72" s="53">
        <v>5</v>
      </c>
    </row>
    <row r="73" spans="1:21">
      <c r="A73" s="216" t="s">
        <v>27</v>
      </c>
      <c r="B73" s="217" t="s">
        <v>522</v>
      </c>
      <c r="C73" s="271" t="s">
        <v>523</v>
      </c>
      <c r="D73" s="216" t="s">
        <v>524</v>
      </c>
      <c r="E73" s="209">
        <v>13</v>
      </c>
      <c r="F73" s="134">
        <v>1</v>
      </c>
      <c r="G73" s="135">
        <v>1</v>
      </c>
      <c r="H73" s="136">
        <v>45</v>
      </c>
      <c r="I73" s="141">
        <v>45</v>
      </c>
      <c r="J73" s="136">
        <v>30</v>
      </c>
      <c r="K73" s="141">
        <v>30</v>
      </c>
      <c r="L73" s="136"/>
      <c r="M73" s="141"/>
      <c r="N73" s="136"/>
      <c r="O73" s="142"/>
      <c r="P73" s="142"/>
      <c r="Q73" s="142"/>
      <c r="R73" s="142"/>
      <c r="S73" s="144"/>
      <c r="T73" s="136">
        <f t="shared" ref="T73:T87" si="5">(I73+K73+M73+N73+O73+P73+Q73+R73+S73)</f>
        <v>75</v>
      </c>
      <c r="U73" s="144">
        <v>6</v>
      </c>
    </row>
    <row r="74" spans="1:21">
      <c r="A74" s="216" t="s">
        <v>27</v>
      </c>
      <c r="B74" s="217" t="s">
        <v>522</v>
      </c>
      <c r="C74" s="271" t="s">
        <v>525</v>
      </c>
      <c r="D74" s="216" t="s">
        <v>524</v>
      </c>
      <c r="E74" s="209">
        <v>13</v>
      </c>
      <c r="F74" s="134">
        <v>1</v>
      </c>
      <c r="G74" s="135">
        <v>1</v>
      </c>
      <c r="H74" s="136">
        <v>30</v>
      </c>
      <c r="I74" s="141">
        <v>30</v>
      </c>
      <c r="J74" s="136">
        <v>30</v>
      </c>
      <c r="K74" s="141">
        <v>30</v>
      </c>
      <c r="L74" s="136"/>
      <c r="M74" s="141"/>
      <c r="N74" s="136"/>
      <c r="O74" s="142"/>
      <c r="P74" s="142"/>
      <c r="Q74" s="142"/>
      <c r="R74" s="142"/>
      <c r="S74" s="144"/>
      <c r="T74" s="136">
        <f t="shared" si="5"/>
        <v>60</v>
      </c>
      <c r="U74" s="144">
        <v>6</v>
      </c>
    </row>
    <row r="75" spans="1:21" ht="38.25">
      <c r="A75" s="216" t="s">
        <v>27</v>
      </c>
      <c r="B75" s="217" t="s">
        <v>522</v>
      </c>
      <c r="C75" s="71" t="s">
        <v>526</v>
      </c>
      <c r="D75" s="216" t="s">
        <v>524</v>
      </c>
      <c r="E75" s="209">
        <v>13</v>
      </c>
      <c r="F75" s="134">
        <v>1</v>
      </c>
      <c r="G75" s="135">
        <v>1</v>
      </c>
      <c r="H75" s="136">
        <v>30</v>
      </c>
      <c r="I75" s="141">
        <v>30</v>
      </c>
      <c r="J75" s="136">
        <v>30</v>
      </c>
      <c r="K75" s="141">
        <v>30</v>
      </c>
      <c r="L75" s="136"/>
      <c r="M75" s="141"/>
      <c r="N75" s="136"/>
      <c r="O75" s="142"/>
      <c r="P75" s="142"/>
      <c r="Q75" s="142"/>
      <c r="R75" s="142"/>
      <c r="S75" s="144"/>
      <c r="T75" s="136">
        <f t="shared" si="5"/>
        <v>60</v>
      </c>
      <c r="U75" s="144">
        <v>5</v>
      </c>
    </row>
    <row r="76" spans="1:21" ht="38.25">
      <c r="A76" s="216" t="s">
        <v>27</v>
      </c>
      <c r="B76" s="217" t="s">
        <v>522</v>
      </c>
      <c r="C76" s="71" t="s">
        <v>527</v>
      </c>
      <c r="D76" s="71" t="s">
        <v>524</v>
      </c>
      <c r="E76" s="218">
        <v>13</v>
      </c>
      <c r="F76" s="134">
        <v>1</v>
      </c>
      <c r="G76" s="135">
        <v>1</v>
      </c>
      <c r="H76" s="136">
        <v>30</v>
      </c>
      <c r="I76" s="141">
        <v>30</v>
      </c>
      <c r="J76" s="136">
        <v>30</v>
      </c>
      <c r="K76" s="141">
        <v>30</v>
      </c>
      <c r="L76" s="136"/>
      <c r="M76" s="141"/>
      <c r="N76" s="136"/>
      <c r="O76" s="142"/>
      <c r="P76" s="142"/>
      <c r="Q76" s="142"/>
      <c r="R76" s="142"/>
      <c r="S76" s="144"/>
      <c r="T76" s="136">
        <f t="shared" si="5"/>
        <v>60</v>
      </c>
      <c r="U76" s="144">
        <v>5</v>
      </c>
    </row>
    <row r="77" spans="1:21">
      <c r="A77" s="216" t="s">
        <v>27</v>
      </c>
      <c r="B77" s="217" t="s">
        <v>183</v>
      </c>
      <c r="C77" s="217" t="s">
        <v>530</v>
      </c>
      <c r="D77" s="71" t="s">
        <v>29</v>
      </c>
      <c r="E77" s="209">
        <v>9</v>
      </c>
      <c r="F77" s="237">
        <v>1</v>
      </c>
      <c r="G77" s="238">
        <v>1</v>
      </c>
      <c r="H77" s="222">
        <v>5</v>
      </c>
      <c r="I77" s="223">
        <v>5</v>
      </c>
      <c r="J77" s="222">
        <v>5</v>
      </c>
      <c r="K77" s="223">
        <v>5</v>
      </c>
      <c r="L77" s="222"/>
      <c r="M77" s="223"/>
      <c r="N77" s="222"/>
      <c r="O77" s="140"/>
      <c r="P77" s="140"/>
      <c r="Q77" s="140"/>
      <c r="R77" s="140"/>
      <c r="S77" s="223"/>
      <c r="T77" s="222">
        <f t="shared" si="5"/>
        <v>10</v>
      </c>
      <c r="U77" s="223">
        <v>4</v>
      </c>
    </row>
    <row r="78" spans="1:21">
      <c r="A78" s="216" t="s">
        <v>27</v>
      </c>
      <c r="B78" s="215" t="s">
        <v>184</v>
      </c>
      <c r="C78" s="217" t="s">
        <v>508</v>
      </c>
      <c r="D78" s="71" t="s">
        <v>29</v>
      </c>
      <c r="E78" s="209">
        <v>10</v>
      </c>
      <c r="F78" s="134">
        <v>1</v>
      </c>
      <c r="G78" s="135">
        <v>1</v>
      </c>
      <c r="H78" s="136">
        <v>5</v>
      </c>
      <c r="I78" s="144">
        <v>5</v>
      </c>
      <c r="J78" s="136">
        <v>5</v>
      </c>
      <c r="K78" s="144">
        <v>5</v>
      </c>
      <c r="L78" s="136"/>
      <c r="M78" s="144"/>
      <c r="N78" s="136"/>
      <c r="O78" s="142"/>
      <c r="P78" s="142"/>
      <c r="Q78" s="142"/>
      <c r="R78" s="142"/>
      <c r="S78" s="144"/>
      <c r="T78" s="136">
        <f t="shared" si="5"/>
        <v>10</v>
      </c>
      <c r="U78" s="144">
        <v>4</v>
      </c>
    </row>
    <row r="79" spans="1:21">
      <c r="A79" s="216" t="s">
        <v>27</v>
      </c>
      <c r="B79" s="215" t="s">
        <v>531</v>
      </c>
      <c r="C79" s="217" t="s">
        <v>532</v>
      </c>
      <c r="D79" s="275" t="s">
        <v>78</v>
      </c>
      <c r="E79" s="209">
        <v>7</v>
      </c>
      <c r="F79" s="134">
        <v>1</v>
      </c>
      <c r="G79" s="135">
        <v>1</v>
      </c>
      <c r="H79" s="136">
        <v>15</v>
      </c>
      <c r="I79" s="144">
        <v>15</v>
      </c>
      <c r="J79" s="136">
        <v>10</v>
      </c>
      <c r="K79" s="144">
        <v>10</v>
      </c>
      <c r="L79" s="136"/>
      <c r="M79" s="144"/>
      <c r="N79" s="136"/>
      <c r="O79" s="142"/>
      <c r="P79" s="142"/>
      <c r="Q79" s="142"/>
      <c r="R79" s="142"/>
      <c r="S79" s="144"/>
      <c r="T79" s="136">
        <f t="shared" si="5"/>
        <v>25</v>
      </c>
      <c r="U79" s="144">
        <v>6</v>
      </c>
    </row>
    <row r="80" spans="1:21" ht="38.25">
      <c r="A80" s="216" t="s">
        <v>27</v>
      </c>
      <c r="B80" s="215" t="s">
        <v>533</v>
      </c>
      <c r="C80" s="145" t="s">
        <v>534</v>
      </c>
      <c r="D80" s="71" t="s">
        <v>78</v>
      </c>
      <c r="E80" s="218">
        <v>7</v>
      </c>
      <c r="F80" s="134">
        <v>1</v>
      </c>
      <c r="G80" s="135">
        <v>1</v>
      </c>
      <c r="H80" s="136">
        <v>10</v>
      </c>
      <c r="I80" s="144">
        <v>10</v>
      </c>
      <c r="J80" s="136">
        <v>5</v>
      </c>
      <c r="K80" s="144">
        <v>5</v>
      </c>
      <c r="L80" s="136"/>
      <c r="M80" s="144"/>
      <c r="N80" s="136"/>
      <c r="O80" s="142"/>
      <c r="P80" s="142"/>
      <c r="Q80" s="142"/>
      <c r="R80" s="142"/>
      <c r="S80" s="144"/>
      <c r="T80" s="136">
        <f t="shared" si="5"/>
        <v>15</v>
      </c>
      <c r="U80" s="144">
        <v>4</v>
      </c>
    </row>
    <row r="81" spans="1:21">
      <c r="A81" s="216" t="s">
        <v>27</v>
      </c>
      <c r="B81" s="217" t="s">
        <v>535</v>
      </c>
      <c r="C81" s="227" t="s">
        <v>499</v>
      </c>
      <c r="D81" s="60" t="s">
        <v>457</v>
      </c>
      <c r="E81" s="209">
        <v>5</v>
      </c>
      <c r="F81" s="134">
        <v>1</v>
      </c>
      <c r="G81" s="135">
        <v>1</v>
      </c>
      <c r="H81" s="136">
        <v>10</v>
      </c>
      <c r="I81" s="141">
        <v>10</v>
      </c>
      <c r="J81" s="136">
        <v>10</v>
      </c>
      <c r="K81" s="141">
        <v>10</v>
      </c>
      <c r="L81" s="136"/>
      <c r="M81" s="141"/>
      <c r="N81" s="136"/>
      <c r="O81" s="142"/>
      <c r="P81" s="142"/>
      <c r="Q81" s="142"/>
      <c r="R81" s="142"/>
      <c r="S81" s="144"/>
      <c r="T81" s="136">
        <f t="shared" si="5"/>
        <v>20</v>
      </c>
      <c r="U81" s="144">
        <v>5</v>
      </c>
    </row>
    <row r="82" spans="1:21">
      <c r="A82" s="216" t="s">
        <v>27</v>
      </c>
      <c r="B82" s="217" t="s">
        <v>536</v>
      </c>
      <c r="C82" s="227" t="s">
        <v>537</v>
      </c>
      <c r="D82" s="60" t="s">
        <v>79</v>
      </c>
      <c r="E82" s="209">
        <v>10</v>
      </c>
      <c r="F82" s="134">
        <v>1</v>
      </c>
      <c r="G82" s="135">
        <v>1</v>
      </c>
      <c r="H82" s="136">
        <v>5</v>
      </c>
      <c r="I82" s="141">
        <v>5</v>
      </c>
      <c r="J82" s="136">
        <v>5</v>
      </c>
      <c r="K82" s="141">
        <v>5</v>
      </c>
      <c r="L82" s="136"/>
      <c r="M82" s="141"/>
      <c r="N82" s="136"/>
      <c r="O82" s="142"/>
      <c r="P82" s="142"/>
      <c r="Q82" s="142"/>
      <c r="R82" s="142"/>
      <c r="S82" s="144"/>
      <c r="T82" s="136">
        <f t="shared" si="5"/>
        <v>10</v>
      </c>
      <c r="U82" s="144">
        <v>3</v>
      </c>
    </row>
    <row r="83" spans="1:21">
      <c r="A83" s="216" t="s">
        <v>27</v>
      </c>
      <c r="B83" s="217" t="s">
        <v>536</v>
      </c>
      <c r="C83" s="227" t="s">
        <v>538</v>
      </c>
      <c r="D83" s="60" t="s">
        <v>79</v>
      </c>
      <c r="E83" s="209">
        <v>10</v>
      </c>
      <c r="F83" s="134">
        <v>1</v>
      </c>
      <c r="G83" s="135">
        <v>1</v>
      </c>
      <c r="H83" s="136">
        <v>5</v>
      </c>
      <c r="I83" s="141">
        <v>5</v>
      </c>
      <c r="J83" s="136">
        <v>5</v>
      </c>
      <c r="K83" s="141">
        <v>5</v>
      </c>
      <c r="L83" s="136"/>
      <c r="M83" s="141"/>
      <c r="N83" s="136"/>
      <c r="O83" s="142"/>
      <c r="P83" s="142"/>
      <c r="Q83" s="142"/>
      <c r="R83" s="142"/>
      <c r="S83" s="144"/>
      <c r="T83" s="136">
        <f t="shared" si="5"/>
        <v>10</v>
      </c>
      <c r="U83" s="144">
        <v>3</v>
      </c>
    </row>
    <row r="84" spans="1:21">
      <c r="A84" s="216" t="s">
        <v>27</v>
      </c>
      <c r="B84" s="215" t="s">
        <v>539</v>
      </c>
      <c r="C84" s="227" t="s">
        <v>540</v>
      </c>
      <c r="D84" s="60" t="s">
        <v>64</v>
      </c>
      <c r="E84" s="209">
        <v>9</v>
      </c>
      <c r="F84" s="134">
        <v>1</v>
      </c>
      <c r="G84" s="135">
        <v>1</v>
      </c>
      <c r="H84" s="136">
        <v>10</v>
      </c>
      <c r="I84" s="141">
        <v>10</v>
      </c>
      <c r="J84" s="136">
        <v>5</v>
      </c>
      <c r="K84" s="141">
        <v>5</v>
      </c>
      <c r="L84" s="136"/>
      <c r="M84" s="141"/>
      <c r="N84" s="136"/>
      <c r="O84" s="142"/>
      <c r="P84" s="142"/>
      <c r="Q84" s="142"/>
      <c r="R84" s="142"/>
      <c r="S84" s="144"/>
      <c r="T84" s="136">
        <f t="shared" si="5"/>
        <v>15</v>
      </c>
      <c r="U84" s="144">
        <v>5</v>
      </c>
    </row>
    <row r="85" spans="1:21" ht="76.5">
      <c r="A85" s="33" t="s">
        <v>27</v>
      </c>
      <c r="B85" s="64" t="s">
        <v>541</v>
      </c>
      <c r="C85" s="51" t="s">
        <v>478</v>
      </c>
      <c r="D85" s="21" t="s">
        <v>542</v>
      </c>
      <c r="E85" s="35" t="s">
        <v>75</v>
      </c>
      <c r="F85" s="23">
        <v>1</v>
      </c>
      <c r="G85" s="24">
        <v>2</v>
      </c>
      <c r="H85" s="25">
        <v>15</v>
      </c>
      <c r="I85" s="25">
        <v>15</v>
      </c>
      <c r="J85" s="25">
        <v>15</v>
      </c>
      <c r="K85" s="25">
        <v>30</v>
      </c>
      <c r="L85" s="25"/>
      <c r="M85" s="41"/>
      <c r="N85" s="25"/>
      <c r="O85" s="42"/>
      <c r="P85" s="42"/>
      <c r="Q85" s="42"/>
      <c r="R85" s="42"/>
      <c r="S85" s="41"/>
      <c r="T85" s="25">
        <f t="shared" si="5"/>
        <v>45</v>
      </c>
      <c r="U85" s="41">
        <v>8</v>
      </c>
    </row>
    <row r="86" spans="1:21" ht="25.5">
      <c r="A86" s="33" t="s">
        <v>27</v>
      </c>
      <c r="B86" s="64">
        <v>2033</v>
      </c>
      <c r="C86" s="51" t="s">
        <v>543</v>
      </c>
      <c r="D86" s="64" t="s">
        <v>77</v>
      </c>
      <c r="E86" s="35">
        <v>24</v>
      </c>
      <c r="F86" s="23">
        <v>1</v>
      </c>
      <c r="G86" s="24">
        <v>1</v>
      </c>
      <c r="H86" s="25">
        <v>10</v>
      </c>
      <c r="I86" s="25">
        <v>10</v>
      </c>
      <c r="J86" s="25">
        <v>5</v>
      </c>
      <c r="K86" s="25">
        <v>5</v>
      </c>
      <c r="L86" s="25"/>
      <c r="M86" s="41"/>
      <c r="N86" s="25"/>
      <c r="O86" s="42"/>
      <c r="P86" s="42"/>
      <c r="Q86" s="42"/>
      <c r="R86" s="42"/>
      <c r="S86" s="41"/>
      <c r="T86" s="25">
        <f t="shared" si="5"/>
        <v>15</v>
      </c>
      <c r="U86" s="41">
        <v>4</v>
      </c>
    </row>
    <row r="87" spans="1:21">
      <c r="A87" s="33" t="s">
        <v>27</v>
      </c>
      <c r="B87" s="64" t="s">
        <v>544</v>
      </c>
      <c r="C87" s="51" t="s">
        <v>545</v>
      </c>
      <c r="D87" s="64" t="s">
        <v>83</v>
      </c>
      <c r="E87" s="35">
        <v>6</v>
      </c>
      <c r="F87" s="23">
        <v>1</v>
      </c>
      <c r="G87" s="24">
        <v>1</v>
      </c>
      <c r="H87" s="25">
        <v>5</v>
      </c>
      <c r="I87" s="25">
        <v>5</v>
      </c>
      <c r="J87" s="25">
        <v>5</v>
      </c>
      <c r="K87" s="25">
        <v>5</v>
      </c>
      <c r="L87" s="25"/>
      <c r="M87" s="41"/>
      <c r="N87" s="25"/>
      <c r="O87" s="42"/>
      <c r="P87" s="42"/>
      <c r="Q87" s="42"/>
      <c r="R87" s="42"/>
      <c r="S87" s="41"/>
      <c r="T87" s="25">
        <f t="shared" si="5"/>
        <v>10</v>
      </c>
      <c r="U87" s="41">
        <v>3</v>
      </c>
    </row>
    <row r="88" spans="1:21" ht="114.75">
      <c r="A88" s="33" t="s">
        <v>27</v>
      </c>
      <c r="B88" s="67" t="s">
        <v>788</v>
      </c>
      <c r="C88" s="51" t="s">
        <v>444</v>
      </c>
      <c r="D88" s="51" t="s">
        <v>546</v>
      </c>
      <c r="E88" s="35" t="s">
        <v>789</v>
      </c>
      <c r="F88" s="23">
        <v>1</v>
      </c>
      <c r="G88" s="24">
        <v>1</v>
      </c>
      <c r="H88" s="25">
        <v>15</v>
      </c>
      <c r="I88" s="25">
        <v>15</v>
      </c>
      <c r="J88" s="25">
        <v>15</v>
      </c>
      <c r="K88" s="25">
        <v>15</v>
      </c>
      <c r="L88" s="25"/>
      <c r="M88" s="76"/>
      <c r="N88" s="25"/>
      <c r="O88" s="42"/>
      <c r="P88" s="42"/>
      <c r="Q88" s="42"/>
      <c r="R88" s="42"/>
      <c r="S88" s="41"/>
      <c r="T88" s="25">
        <f t="shared" ref="T88:T92" si="6">I88+K88+M88+N88+O88+P88+Q88+R88+S88</f>
        <v>30</v>
      </c>
      <c r="U88" s="41">
        <v>8</v>
      </c>
    </row>
    <row r="89" spans="1:21" ht="25.5">
      <c r="A89" s="216" t="s">
        <v>27</v>
      </c>
      <c r="B89" s="219" t="s">
        <v>547</v>
      </c>
      <c r="C89" s="71" t="s">
        <v>444</v>
      </c>
      <c r="D89" s="215" t="s">
        <v>548</v>
      </c>
      <c r="E89" s="209">
        <v>30</v>
      </c>
      <c r="F89" s="134">
        <v>1</v>
      </c>
      <c r="G89" s="135">
        <v>1</v>
      </c>
      <c r="H89" s="136">
        <v>45</v>
      </c>
      <c r="I89" s="136">
        <v>45</v>
      </c>
      <c r="J89" s="136">
        <v>45</v>
      </c>
      <c r="K89" s="136">
        <v>45</v>
      </c>
      <c r="L89" s="136"/>
      <c r="M89" s="141"/>
      <c r="N89" s="136"/>
      <c r="O89" s="142"/>
      <c r="P89" s="142"/>
      <c r="Q89" s="142"/>
      <c r="R89" s="142"/>
      <c r="S89" s="144"/>
      <c r="T89" s="136">
        <f t="shared" si="6"/>
        <v>90</v>
      </c>
      <c r="U89" s="144">
        <v>8</v>
      </c>
    </row>
    <row r="90" spans="1:21" ht="25.5">
      <c r="A90" s="216" t="s">
        <v>27</v>
      </c>
      <c r="B90" s="219" t="s">
        <v>71</v>
      </c>
      <c r="C90" s="71" t="s">
        <v>444</v>
      </c>
      <c r="D90" s="215" t="s">
        <v>549</v>
      </c>
      <c r="E90" s="209">
        <v>55</v>
      </c>
      <c r="F90" s="134">
        <v>1</v>
      </c>
      <c r="G90" s="135">
        <v>2</v>
      </c>
      <c r="H90" s="136">
        <v>45</v>
      </c>
      <c r="I90" s="141">
        <v>45</v>
      </c>
      <c r="J90" s="136">
        <v>45</v>
      </c>
      <c r="K90" s="141">
        <v>90</v>
      </c>
      <c r="L90" s="136"/>
      <c r="M90" s="141"/>
      <c r="N90" s="136"/>
      <c r="O90" s="142"/>
      <c r="P90" s="142"/>
      <c r="Q90" s="142"/>
      <c r="R90" s="142"/>
      <c r="S90" s="144"/>
      <c r="T90" s="136">
        <f t="shared" si="6"/>
        <v>135</v>
      </c>
      <c r="U90" s="144">
        <v>8</v>
      </c>
    </row>
    <row r="91" spans="1:21">
      <c r="A91" s="216" t="s">
        <v>27</v>
      </c>
      <c r="B91" s="219" t="s">
        <v>214</v>
      </c>
      <c r="C91" s="217" t="s">
        <v>550</v>
      </c>
      <c r="D91" s="215" t="s">
        <v>216</v>
      </c>
      <c r="E91" s="209">
        <v>13</v>
      </c>
      <c r="F91" s="134">
        <v>1</v>
      </c>
      <c r="G91" s="135">
        <v>1</v>
      </c>
      <c r="H91" s="136">
        <v>30</v>
      </c>
      <c r="I91" s="141">
        <v>30</v>
      </c>
      <c r="J91" s="136">
        <v>15</v>
      </c>
      <c r="K91" s="141">
        <v>15</v>
      </c>
      <c r="L91" s="136">
        <v>15</v>
      </c>
      <c r="M91" s="141">
        <v>15</v>
      </c>
      <c r="N91" s="136"/>
      <c r="O91" s="142"/>
      <c r="P91" s="142"/>
      <c r="Q91" s="142"/>
      <c r="R91" s="142"/>
      <c r="S91" s="144"/>
      <c r="T91" s="136">
        <f t="shared" si="6"/>
        <v>60</v>
      </c>
      <c r="U91" s="144">
        <v>5</v>
      </c>
    </row>
    <row r="92" spans="1:21">
      <c r="A92" s="216" t="s">
        <v>27</v>
      </c>
      <c r="B92" s="217" t="s">
        <v>214</v>
      </c>
      <c r="C92" s="247" t="s">
        <v>551</v>
      </c>
      <c r="D92" s="60" t="s">
        <v>216</v>
      </c>
      <c r="E92" s="209">
        <v>13</v>
      </c>
      <c r="F92" s="134">
        <v>1</v>
      </c>
      <c r="G92" s="135">
        <v>1</v>
      </c>
      <c r="H92" s="136">
        <v>30</v>
      </c>
      <c r="I92" s="141">
        <v>30</v>
      </c>
      <c r="J92" s="136">
        <v>15</v>
      </c>
      <c r="K92" s="141">
        <v>15</v>
      </c>
      <c r="L92" s="136"/>
      <c r="M92" s="141"/>
      <c r="N92" s="136"/>
      <c r="O92" s="142"/>
      <c r="P92" s="142"/>
      <c r="Q92" s="142"/>
      <c r="R92" s="142"/>
      <c r="S92" s="144"/>
      <c r="T92" s="136">
        <f t="shared" si="6"/>
        <v>45</v>
      </c>
      <c r="U92" s="144">
        <v>4</v>
      </c>
    </row>
    <row r="93" spans="1:21" ht="38.25">
      <c r="A93" s="216" t="s">
        <v>36</v>
      </c>
      <c r="B93" s="217" t="s">
        <v>66</v>
      </c>
      <c r="C93" s="247" t="s">
        <v>478</v>
      </c>
      <c r="D93" s="60" t="s">
        <v>445</v>
      </c>
      <c r="E93" s="209" t="s">
        <v>67</v>
      </c>
      <c r="F93" s="134">
        <v>1</v>
      </c>
      <c r="G93" s="135">
        <v>2</v>
      </c>
      <c r="H93" s="136">
        <v>45</v>
      </c>
      <c r="I93" s="141">
        <v>45</v>
      </c>
      <c r="J93" s="136">
        <v>45</v>
      </c>
      <c r="K93" s="141">
        <v>90</v>
      </c>
      <c r="L93" s="136"/>
      <c r="M93" s="141"/>
      <c r="N93" s="136"/>
      <c r="O93" s="142"/>
      <c r="P93" s="142"/>
      <c r="Q93" s="142"/>
      <c r="R93" s="142"/>
      <c r="S93" s="225"/>
      <c r="T93" s="136">
        <f t="shared" ref="T93:T101" si="7">I93+K93+M93+N93+O93+P93+Q93+R93+S93</f>
        <v>135</v>
      </c>
      <c r="U93" s="144">
        <v>8</v>
      </c>
    </row>
    <row r="94" spans="1:21" ht="26.25" customHeight="1">
      <c r="A94" s="71" t="s">
        <v>36</v>
      </c>
      <c r="B94" s="241" t="s">
        <v>552</v>
      </c>
      <c r="C94" s="71" t="s">
        <v>543</v>
      </c>
      <c r="D94" s="71" t="s">
        <v>77</v>
      </c>
      <c r="E94" s="72">
        <v>23</v>
      </c>
      <c r="F94" s="72">
        <v>1</v>
      </c>
      <c r="G94" s="72">
        <v>1</v>
      </c>
      <c r="H94" s="140">
        <v>30</v>
      </c>
      <c r="I94" s="140">
        <v>30</v>
      </c>
      <c r="J94" s="140">
        <v>15</v>
      </c>
      <c r="K94" s="140">
        <v>15</v>
      </c>
      <c r="L94" s="140"/>
      <c r="M94" s="143"/>
      <c r="N94" s="140"/>
      <c r="O94" s="140"/>
      <c r="P94" s="140"/>
      <c r="Q94" s="140"/>
      <c r="R94" s="140"/>
      <c r="S94" s="140"/>
      <c r="T94" s="140">
        <f t="shared" si="7"/>
        <v>45</v>
      </c>
      <c r="U94" s="140">
        <v>4</v>
      </c>
    </row>
    <row r="95" spans="1:21" ht="26.25" customHeight="1">
      <c r="A95" s="71" t="s">
        <v>36</v>
      </c>
      <c r="B95" s="71" t="s">
        <v>553</v>
      </c>
      <c r="C95" s="71" t="s">
        <v>543</v>
      </c>
      <c r="D95" s="71" t="s">
        <v>77</v>
      </c>
      <c r="E95" s="72">
        <v>15</v>
      </c>
      <c r="F95" s="72">
        <v>1</v>
      </c>
      <c r="G95" s="72">
        <v>1</v>
      </c>
      <c r="H95" s="140">
        <v>30</v>
      </c>
      <c r="I95" s="140">
        <v>30</v>
      </c>
      <c r="J95" s="140">
        <v>15</v>
      </c>
      <c r="K95" s="140">
        <v>15</v>
      </c>
      <c r="L95" s="140"/>
      <c r="M95" s="143"/>
      <c r="N95" s="140"/>
      <c r="O95" s="140"/>
      <c r="P95" s="140"/>
      <c r="Q95" s="140"/>
      <c r="R95" s="140"/>
      <c r="S95" s="140"/>
      <c r="T95" s="140">
        <f t="shared" si="7"/>
        <v>45</v>
      </c>
      <c r="U95" s="140">
        <v>4</v>
      </c>
    </row>
    <row r="96" spans="1:21" ht="21" customHeight="1">
      <c r="A96" s="71" t="s">
        <v>36</v>
      </c>
      <c r="B96" s="246" t="s">
        <v>554</v>
      </c>
      <c r="C96" s="71" t="s">
        <v>555</v>
      </c>
      <c r="D96" s="71" t="s">
        <v>73</v>
      </c>
      <c r="E96" s="72">
        <v>27</v>
      </c>
      <c r="F96" s="72">
        <v>1</v>
      </c>
      <c r="G96" s="72">
        <v>1</v>
      </c>
      <c r="H96" s="140">
        <v>30</v>
      </c>
      <c r="I96" s="140">
        <v>30</v>
      </c>
      <c r="J96" s="140">
        <v>15</v>
      </c>
      <c r="K96" s="140">
        <v>15</v>
      </c>
      <c r="L96" s="140"/>
      <c r="M96" s="143"/>
      <c r="N96" s="140"/>
      <c r="O96" s="140"/>
      <c r="P96" s="140"/>
      <c r="Q96" s="140"/>
      <c r="R96" s="140"/>
      <c r="S96" s="140"/>
      <c r="T96" s="140">
        <f t="shared" si="7"/>
        <v>45</v>
      </c>
      <c r="U96" s="140">
        <v>4</v>
      </c>
    </row>
    <row r="97" spans="1:21" ht="16.5" customHeight="1">
      <c r="A97" s="71" t="s">
        <v>36</v>
      </c>
      <c r="B97" s="71" t="s">
        <v>556</v>
      </c>
      <c r="C97" s="71" t="s">
        <v>555</v>
      </c>
      <c r="D97" s="71" t="s">
        <v>73</v>
      </c>
      <c r="E97" s="72">
        <v>25</v>
      </c>
      <c r="F97" s="72">
        <v>1</v>
      </c>
      <c r="G97" s="72">
        <v>1</v>
      </c>
      <c r="H97" s="140">
        <v>30</v>
      </c>
      <c r="I97" s="140">
        <v>30</v>
      </c>
      <c r="J97" s="140">
        <v>15</v>
      </c>
      <c r="K97" s="140">
        <v>15</v>
      </c>
      <c r="L97" s="140"/>
      <c r="M97" s="143"/>
      <c r="N97" s="140"/>
      <c r="O97" s="140"/>
      <c r="P97" s="140"/>
      <c r="Q97" s="140"/>
      <c r="R97" s="140"/>
      <c r="S97" s="140"/>
      <c r="T97" s="140">
        <f t="shared" si="7"/>
        <v>45</v>
      </c>
      <c r="U97" s="140">
        <v>4</v>
      </c>
    </row>
    <row r="98" spans="1:21" ht="25.5">
      <c r="A98" s="71" t="s">
        <v>36</v>
      </c>
      <c r="B98" s="138" t="s">
        <v>447</v>
      </c>
      <c r="C98" s="71" t="s">
        <v>478</v>
      </c>
      <c r="D98" s="71" t="s">
        <v>449</v>
      </c>
      <c r="E98" s="72" t="s">
        <v>134</v>
      </c>
      <c r="F98" s="72">
        <v>1</v>
      </c>
      <c r="G98" s="72">
        <v>2</v>
      </c>
      <c r="H98" s="140">
        <v>15</v>
      </c>
      <c r="I98" s="140">
        <v>15</v>
      </c>
      <c r="J98" s="140">
        <v>15</v>
      </c>
      <c r="K98" s="140">
        <v>30</v>
      </c>
      <c r="L98" s="140"/>
      <c r="M98" s="143"/>
      <c r="N98" s="140"/>
      <c r="O98" s="140"/>
      <c r="P98" s="140"/>
      <c r="Q98" s="140"/>
      <c r="R98" s="140"/>
      <c r="S98" s="140"/>
      <c r="T98" s="140">
        <f t="shared" si="7"/>
        <v>45</v>
      </c>
      <c r="U98" s="140">
        <v>3</v>
      </c>
    </row>
    <row r="99" spans="1:21" ht="25.5">
      <c r="A99" s="71" t="s">
        <v>36</v>
      </c>
      <c r="B99" s="138" t="s">
        <v>450</v>
      </c>
      <c r="C99" s="71" t="s">
        <v>478</v>
      </c>
      <c r="D99" s="71" t="s">
        <v>449</v>
      </c>
      <c r="E99" s="72" t="s">
        <v>210</v>
      </c>
      <c r="F99" s="72">
        <v>1</v>
      </c>
      <c r="G99" s="72">
        <v>2</v>
      </c>
      <c r="H99" s="140">
        <v>15</v>
      </c>
      <c r="I99" s="140">
        <v>15</v>
      </c>
      <c r="J99" s="140">
        <v>15</v>
      </c>
      <c r="K99" s="143">
        <v>30</v>
      </c>
      <c r="L99" s="140"/>
      <c r="M99" s="143"/>
      <c r="N99" s="140"/>
      <c r="O99" s="140"/>
      <c r="P99" s="140"/>
      <c r="Q99" s="140"/>
      <c r="R99" s="140"/>
      <c r="S99" s="140"/>
      <c r="T99" s="140">
        <f t="shared" si="7"/>
        <v>45</v>
      </c>
      <c r="U99" s="140">
        <v>3</v>
      </c>
    </row>
    <row r="100" spans="1:21" ht="25.5">
      <c r="A100" s="71" t="s">
        <v>36</v>
      </c>
      <c r="B100" s="138" t="s">
        <v>447</v>
      </c>
      <c r="C100" s="71" t="s">
        <v>464</v>
      </c>
      <c r="D100" s="71" t="s">
        <v>449</v>
      </c>
      <c r="E100" s="72" t="s">
        <v>134</v>
      </c>
      <c r="F100" s="72">
        <v>1</v>
      </c>
      <c r="G100" s="72">
        <v>2</v>
      </c>
      <c r="H100" s="140">
        <v>45</v>
      </c>
      <c r="I100" s="140">
        <v>45</v>
      </c>
      <c r="J100" s="140">
        <v>30</v>
      </c>
      <c r="K100" s="143">
        <v>60</v>
      </c>
      <c r="L100" s="140"/>
      <c r="M100" s="143"/>
      <c r="N100" s="140"/>
      <c r="O100" s="140"/>
      <c r="P100" s="140"/>
      <c r="Q100" s="140"/>
      <c r="R100" s="140"/>
      <c r="S100" s="140"/>
      <c r="T100" s="140">
        <f t="shared" si="7"/>
        <v>105</v>
      </c>
      <c r="U100" s="140">
        <v>7</v>
      </c>
    </row>
    <row r="101" spans="1:21" ht="25.5">
      <c r="A101" s="71" t="s">
        <v>36</v>
      </c>
      <c r="B101" s="138" t="s">
        <v>450</v>
      </c>
      <c r="C101" s="71" t="s">
        <v>464</v>
      </c>
      <c r="D101" s="71" t="s">
        <v>449</v>
      </c>
      <c r="E101" s="72" t="s">
        <v>134</v>
      </c>
      <c r="F101" s="72">
        <v>1</v>
      </c>
      <c r="G101" s="72">
        <v>2</v>
      </c>
      <c r="H101" s="140">
        <v>45</v>
      </c>
      <c r="I101" s="140">
        <v>45</v>
      </c>
      <c r="J101" s="140">
        <v>30</v>
      </c>
      <c r="K101" s="143">
        <v>60</v>
      </c>
      <c r="L101" s="140"/>
      <c r="M101" s="143"/>
      <c r="N101" s="140"/>
      <c r="O101" s="140"/>
      <c r="P101" s="140"/>
      <c r="Q101" s="140"/>
      <c r="R101" s="140"/>
      <c r="S101" s="140"/>
      <c r="T101" s="140">
        <f t="shared" si="7"/>
        <v>105</v>
      </c>
      <c r="U101" s="140">
        <v>7</v>
      </c>
    </row>
    <row r="102" spans="1:21" ht="17.25" customHeight="1">
      <c r="A102" s="71" t="s">
        <v>36</v>
      </c>
      <c r="B102" s="138" t="s">
        <v>455</v>
      </c>
      <c r="C102" s="71" t="s">
        <v>557</v>
      </c>
      <c r="D102" s="71" t="s">
        <v>457</v>
      </c>
      <c r="E102" s="72">
        <v>40</v>
      </c>
      <c r="F102" s="72">
        <v>1</v>
      </c>
      <c r="G102" s="72">
        <v>1</v>
      </c>
      <c r="H102" s="140">
        <v>30</v>
      </c>
      <c r="I102" s="143">
        <v>30</v>
      </c>
      <c r="J102" s="140">
        <v>30</v>
      </c>
      <c r="K102" s="143">
        <v>30</v>
      </c>
      <c r="L102" s="140"/>
      <c r="M102" s="143"/>
      <c r="N102" s="140"/>
      <c r="O102" s="140"/>
      <c r="P102" s="140"/>
      <c r="Q102" s="140"/>
      <c r="R102" s="140"/>
      <c r="S102" s="140"/>
      <c r="T102" s="140">
        <f>(I102+K102+M102+N102+O102+P102+Q102+R102+S102)</f>
        <v>60</v>
      </c>
      <c r="U102" s="140">
        <v>6</v>
      </c>
    </row>
    <row r="103" spans="1:21" ht="17.25" customHeight="1">
      <c r="A103" s="71" t="s">
        <v>36</v>
      </c>
      <c r="B103" s="138" t="s">
        <v>458</v>
      </c>
      <c r="C103" s="71" t="s">
        <v>557</v>
      </c>
      <c r="D103" s="71" t="s">
        <v>457</v>
      </c>
      <c r="E103" s="72">
        <v>25</v>
      </c>
      <c r="F103" s="72">
        <v>1</v>
      </c>
      <c r="G103" s="72">
        <v>1</v>
      </c>
      <c r="H103" s="140">
        <v>30</v>
      </c>
      <c r="I103" s="143">
        <v>30</v>
      </c>
      <c r="J103" s="140">
        <v>30</v>
      </c>
      <c r="K103" s="143">
        <v>30</v>
      </c>
      <c r="L103" s="140"/>
      <c r="M103" s="143"/>
      <c r="N103" s="140"/>
      <c r="O103" s="140"/>
      <c r="P103" s="140"/>
      <c r="Q103" s="140"/>
      <c r="R103" s="140"/>
      <c r="S103" s="140"/>
      <c r="T103" s="140">
        <f>(I103+K103+M103+N103+O103+P103+Q103+R103+S103)</f>
        <v>60</v>
      </c>
      <c r="U103" s="140">
        <v>6</v>
      </c>
    </row>
    <row r="104" spans="1:21">
      <c r="A104" s="71" t="s">
        <v>36</v>
      </c>
      <c r="B104" s="71" t="s">
        <v>463</v>
      </c>
      <c r="C104" s="71" t="s">
        <v>558</v>
      </c>
      <c r="D104" s="71" t="s">
        <v>559</v>
      </c>
      <c r="E104" s="72">
        <v>40</v>
      </c>
      <c r="F104" s="72">
        <v>1</v>
      </c>
      <c r="G104" s="72">
        <v>2</v>
      </c>
      <c r="H104" s="140">
        <v>45</v>
      </c>
      <c r="I104" s="143">
        <v>45</v>
      </c>
      <c r="J104" s="140">
        <v>30</v>
      </c>
      <c r="K104" s="143">
        <v>60</v>
      </c>
      <c r="L104" s="140"/>
      <c r="M104" s="143"/>
      <c r="N104" s="140"/>
      <c r="O104" s="140"/>
      <c r="P104" s="140"/>
      <c r="Q104" s="140"/>
      <c r="R104" s="140"/>
      <c r="S104" s="140"/>
      <c r="T104" s="140">
        <f>(I104+K104+M104+N104+O104+P104+Q104+R104+S104)</f>
        <v>105</v>
      </c>
      <c r="U104" s="140">
        <v>6</v>
      </c>
    </row>
    <row r="105" spans="1:21">
      <c r="A105" s="71" t="s">
        <v>36</v>
      </c>
      <c r="B105" s="71" t="s">
        <v>465</v>
      </c>
      <c r="C105" s="71" t="s">
        <v>558</v>
      </c>
      <c r="D105" s="71" t="s">
        <v>559</v>
      </c>
      <c r="E105" s="72">
        <v>25</v>
      </c>
      <c r="F105" s="72">
        <v>1</v>
      </c>
      <c r="G105" s="72">
        <v>1</v>
      </c>
      <c r="H105" s="140">
        <v>45</v>
      </c>
      <c r="I105" s="143">
        <v>45</v>
      </c>
      <c r="J105" s="140">
        <v>30</v>
      </c>
      <c r="K105" s="143">
        <v>30</v>
      </c>
      <c r="L105" s="140"/>
      <c r="M105" s="143"/>
      <c r="N105" s="140"/>
      <c r="O105" s="140"/>
      <c r="P105" s="140"/>
      <c r="Q105" s="140"/>
      <c r="R105" s="140"/>
      <c r="S105" s="140"/>
      <c r="T105" s="140">
        <f>(I105+K105+M105+N105+O105+P105+Q105+R105+S105)</f>
        <v>75</v>
      </c>
      <c r="U105" s="140">
        <v>6</v>
      </c>
    </row>
    <row r="106" spans="1:21" ht="51">
      <c r="A106" s="71" t="s">
        <v>36</v>
      </c>
      <c r="B106" s="71" t="s">
        <v>560</v>
      </c>
      <c r="C106" s="71" t="s">
        <v>464</v>
      </c>
      <c r="D106" s="71" t="s">
        <v>561</v>
      </c>
      <c r="E106" s="72" t="s">
        <v>562</v>
      </c>
      <c r="F106" s="72">
        <v>1</v>
      </c>
      <c r="G106" s="72">
        <v>2</v>
      </c>
      <c r="H106" s="140">
        <v>45</v>
      </c>
      <c r="I106" s="143">
        <v>45</v>
      </c>
      <c r="J106" s="140">
        <v>30</v>
      </c>
      <c r="K106" s="143">
        <v>60</v>
      </c>
      <c r="L106" s="140"/>
      <c r="M106" s="143"/>
      <c r="N106" s="140"/>
      <c r="O106" s="140"/>
      <c r="P106" s="140"/>
      <c r="Q106" s="140"/>
      <c r="R106" s="140"/>
      <c r="S106" s="140"/>
      <c r="T106" s="140">
        <f>I106+K106+M106+N106+O106+P106+Q106+R106+S106</f>
        <v>105</v>
      </c>
      <c r="U106" s="140">
        <v>8</v>
      </c>
    </row>
    <row r="107" spans="1:21" ht="16.5" customHeight="1">
      <c r="A107" s="71" t="s">
        <v>36</v>
      </c>
      <c r="B107" s="71" t="s">
        <v>469</v>
      </c>
      <c r="C107" s="71" t="s">
        <v>563</v>
      </c>
      <c r="D107" s="71" t="s">
        <v>80</v>
      </c>
      <c r="E107" s="72">
        <v>20</v>
      </c>
      <c r="F107" s="72">
        <v>1</v>
      </c>
      <c r="G107" s="72">
        <v>1</v>
      </c>
      <c r="H107" s="140">
        <v>15</v>
      </c>
      <c r="I107" s="143">
        <v>15</v>
      </c>
      <c r="J107" s="140">
        <v>15</v>
      </c>
      <c r="K107" s="143">
        <v>15</v>
      </c>
      <c r="L107" s="140"/>
      <c r="M107" s="143"/>
      <c r="N107" s="140"/>
      <c r="O107" s="140"/>
      <c r="P107" s="140"/>
      <c r="Q107" s="140"/>
      <c r="R107" s="140"/>
      <c r="S107" s="140"/>
      <c r="T107" s="140">
        <f>(I107+K107+M107+N107+O107+P107+Q107+R107+S107)</f>
        <v>30</v>
      </c>
      <c r="U107" s="140">
        <v>4</v>
      </c>
    </row>
    <row r="108" spans="1:21" ht="16.5" customHeight="1">
      <c r="A108" s="71" t="s">
        <v>36</v>
      </c>
      <c r="B108" s="71" t="s">
        <v>469</v>
      </c>
      <c r="C108" s="71" t="s">
        <v>474</v>
      </c>
      <c r="D108" s="71" t="s">
        <v>80</v>
      </c>
      <c r="E108" s="72">
        <v>20</v>
      </c>
      <c r="F108" s="72">
        <v>1</v>
      </c>
      <c r="G108" s="72">
        <v>1</v>
      </c>
      <c r="H108" s="140">
        <v>30</v>
      </c>
      <c r="I108" s="143">
        <v>30</v>
      </c>
      <c r="J108" s="140">
        <v>20</v>
      </c>
      <c r="K108" s="143">
        <v>20</v>
      </c>
      <c r="L108" s="140">
        <v>10</v>
      </c>
      <c r="M108" s="143">
        <v>10</v>
      </c>
      <c r="N108" s="140"/>
      <c r="O108" s="140"/>
      <c r="P108" s="140"/>
      <c r="Q108" s="140"/>
      <c r="R108" s="140"/>
      <c r="S108" s="140"/>
      <c r="T108" s="140">
        <f>I108+K108+M108+N108+O108+P108+Q108+R108+S108</f>
        <v>60</v>
      </c>
      <c r="U108" s="140">
        <v>5</v>
      </c>
    </row>
    <row r="109" spans="1:21" ht="26.25" customHeight="1">
      <c r="A109" s="71" t="s">
        <v>36</v>
      </c>
      <c r="B109" s="71" t="s">
        <v>132</v>
      </c>
      <c r="C109" s="227" t="s">
        <v>529</v>
      </c>
      <c r="D109" s="71" t="s">
        <v>564</v>
      </c>
      <c r="E109" s="72" t="s">
        <v>134</v>
      </c>
      <c r="F109" s="72">
        <v>1</v>
      </c>
      <c r="G109" s="72">
        <v>2</v>
      </c>
      <c r="H109" s="140">
        <v>15</v>
      </c>
      <c r="I109" s="143">
        <v>15</v>
      </c>
      <c r="J109" s="140">
        <v>10</v>
      </c>
      <c r="K109" s="143">
        <v>20</v>
      </c>
      <c r="L109" s="140">
        <v>5</v>
      </c>
      <c r="M109" s="143">
        <v>10</v>
      </c>
      <c r="N109" s="140"/>
      <c r="O109" s="140"/>
      <c r="P109" s="140"/>
      <c r="Q109" s="140"/>
      <c r="R109" s="140"/>
      <c r="S109" s="140"/>
      <c r="T109" s="140">
        <f>I109+K109+M109+N109+O109+P109+Q109+R109+S109</f>
        <v>45</v>
      </c>
      <c r="U109" s="140">
        <v>4</v>
      </c>
    </row>
    <row r="110" spans="1:21">
      <c r="A110" s="71" t="s">
        <v>36</v>
      </c>
      <c r="B110" s="71" t="s">
        <v>135</v>
      </c>
      <c r="C110" s="71" t="s">
        <v>565</v>
      </c>
      <c r="D110" s="71" t="s">
        <v>136</v>
      </c>
      <c r="E110" s="72">
        <v>50</v>
      </c>
      <c r="F110" s="72">
        <v>1</v>
      </c>
      <c r="G110" s="72">
        <v>2</v>
      </c>
      <c r="H110" s="140">
        <v>30</v>
      </c>
      <c r="I110" s="143">
        <v>30</v>
      </c>
      <c r="J110" s="140">
        <v>30</v>
      </c>
      <c r="K110" s="143">
        <v>60</v>
      </c>
      <c r="L110" s="140"/>
      <c r="M110" s="143"/>
      <c r="N110" s="140"/>
      <c r="O110" s="140"/>
      <c r="P110" s="140"/>
      <c r="Q110" s="140"/>
      <c r="R110" s="140"/>
      <c r="S110" s="140"/>
      <c r="T110" s="140">
        <f>I110+K110+M110+N110+O110+P110+Q110+R110+S110</f>
        <v>90</v>
      </c>
      <c r="U110" s="140">
        <v>5</v>
      </c>
    </row>
    <row r="111" spans="1:21" ht="25.5">
      <c r="A111" s="55" t="s">
        <v>36</v>
      </c>
      <c r="B111" s="55" t="s">
        <v>90</v>
      </c>
      <c r="C111" s="55" t="s">
        <v>565</v>
      </c>
      <c r="D111" s="55" t="s">
        <v>521</v>
      </c>
      <c r="E111" s="54">
        <v>20</v>
      </c>
      <c r="F111" s="54">
        <v>1</v>
      </c>
      <c r="G111" s="54">
        <v>1</v>
      </c>
      <c r="H111" s="56">
        <v>30</v>
      </c>
      <c r="I111" s="78">
        <v>30</v>
      </c>
      <c r="J111" s="56">
        <v>15</v>
      </c>
      <c r="K111" s="78">
        <v>15</v>
      </c>
      <c r="L111" s="56"/>
      <c r="M111" s="78"/>
      <c r="N111" s="56"/>
      <c r="O111" s="56"/>
      <c r="P111" s="56"/>
      <c r="Q111" s="56"/>
      <c r="R111" s="56"/>
      <c r="S111" s="56"/>
      <c r="T111" s="56">
        <f>I111+K111+M111+N111+O111+P111+Q111+R111+S111</f>
        <v>45</v>
      </c>
      <c r="U111" s="56">
        <v>5</v>
      </c>
    </row>
    <row r="112" spans="1:21" ht="25.5">
      <c r="A112" s="71" t="s">
        <v>36</v>
      </c>
      <c r="B112" s="71" t="s">
        <v>94</v>
      </c>
      <c r="C112" s="71" t="s">
        <v>464</v>
      </c>
      <c r="D112" s="71" t="s">
        <v>93</v>
      </c>
      <c r="E112" s="72">
        <v>20</v>
      </c>
      <c r="F112" s="72">
        <v>1</v>
      </c>
      <c r="G112" s="72">
        <v>1</v>
      </c>
      <c r="H112" s="140">
        <v>45</v>
      </c>
      <c r="I112" s="143">
        <v>45</v>
      </c>
      <c r="J112" s="140">
        <v>30</v>
      </c>
      <c r="K112" s="143">
        <v>30</v>
      </c>
      <c r="L112" s="140"/>
      <c r="M112" s="143"/>
      <c r="N112" s="140"/>
      <c r="O112" s="140"/>
      <c r="P112" s="140"/>
      <c r="Q112" s="140"/>
      <c r="R112" s="140"/>
      <c r="S112" s="140"/>
      <c r="T112" s="140">
        <f>(I112+K112+M112+N112+O112+P112+Q112+R112+S112)</f>
        <v>75</v>
      </c>
      <c r="U112" s="140">
        <v>8</v>
      </c>
    </row>
    <row r="113" spans="1:21" ht="25.5">
      <c r="A113" s="71" t="s">
        <v>36</v>
      </c>
      <c r="B113" s="71" t="s">
        <v>92</v>
      </c>
      <c r="C113" s="71" t="s">
        <v>566</v>
      </c>
      <c r="D113" s="71" t="s">
        <v>93</v>
      </c>
      <c r="E113" s="72">
        <v>20</v>
      </c>
      <c r="F113" s="72">
        <v>1</v>
      </c>
      <c r="G113" s="72">
        <v>1</v>
      </c>
      <c r="H113" s="140">
        <v>30</v>
      </c>
      <c r="I113" s="143">
        <v>30</v>
      </c>
      <c r="J113" s="140">
        <v>30</v>
      </c>
      <c r="K113" s="143">
        <v>30</v>
      </c>
      <c r="L113" s="140"/>
      <c r="M113" s="143"/>
      <c r="N113" s="140"/>
      <c r="O113" s="140"/>
      <c r="P113" s="140"/>
      <c r="Q113" s="140"/>
      <c r="R113" s="140"/>
      <c r="S113" s="140"/>
      <c r="T113" s="140">
        <f>(I113+K113+M113+N113+O113+P113+Q113+R113+S113)</f>
        <v>60</v>
      </c>
      <c r="U113" s="140">
        <v>6</v>
      </c>
    </row>
    <row r="114" spans="1:21" ht="25.5">
      <c r="A114" s="71" t="s">
        <v>36</v>
      </c>
      <c r="B114" s="71" t="s">
        <v>94</v>
      </c>
      <c r="C114" s="71" t="s">
        <v>566</v>
      </c>
      <c r="D114" s="71" t="s">
        <v>93</v>
      </c>
      <c r="E114" s="72">
        <v>20</v>
      </c>
      <c r="F114" s="72">
        <v>1</v>
      </c>
      <c r="G114" s="72">
        <v>1</v>
      </c>
      <c r="H114" s="140">
        <v>30</v>
      </c>
      <c r="I114" s="143">
        <v>30</v>
      </c>
      <c r="J114" s="140">
        <v>30</v>
      </c>
      <c r="K114" s="143">
        <v>30</v>
      </c>
      <c r="L114" s="140"/>
      <c r="M114" s="143"/>
      <c r="N114" s="140"/>
      <c r="O114" s="140"/>
      <c r="P114" s="140"/>
      <c r="Q114" s="140"/>
      <c r="R114" s="140"/>
      <c r="S114" s="140"/>
      <c r="T114" s="140">
        <f>(I114+K114+M114+N114+O114+P114+Q114+R114+S114)</f>
        <v>60</v>
      </c>
      <c r="U114" s="140">
        <v>6</v>
      </c>
    </row>
    <row r="115" spans="1:21">
      <c r="A115" s="71" t="s">
        <v>36</v>
      </c>
      <c r="B115" s="241" t="s">
        <v>239</v>
      </c>
      <c r="C115" s="71" t="s">
        <v>474</v>
      </c>
      <c r="D115" s="71" t="s">
        <v>216</v>
      </c>
      <c r="E115" s="72">
        <v>20</v>
      </c>
      <c r="F115" s="72">
        <v>1</v>
      </c>
      <c r="G115" s="72">
        <v>1</v>
      </c>
      <c r="H115" s="140">
        <v>30</v>
      </c>
      <c r="I115" s="143">
        <v>30</v>
      </c>
      <c r="J115" s="140">
        <v>20</v>
      </c>
      <c r="K115" s="143">
        <v>20</v>
      </c>
      <c r="L115" s="140">
        <v>10</v>
      </c>
      <c r="M115" s="143">
        <v>10</v>
      </c>
      <c r="N115" s="140"/>
      <c r="O115" s="140"/>
      <c r="P115" s="140"/>
      <c r="Q115" s="140"/>
      <c r="R115" s="140"/>
      <c r="S115" s="140"/>
      <c r="T115" s="140">
        <f>I115+K115+M115+N115+O115+P115+Q115+R115+S115</f>
        <v>60</v>
      </c>
      <c r="U115" s="140">
        <v>6</v>
      </c>
    </row>
    <row r="116" spans="1:21" ht="25.5">
      <c r="A116" s="71" t="s">
        <v>36</v>
      </c>
      <c r="B116" s="241" t="s">
        <v>390</v>
      </c>
      <c r="C116" s="227" t="s">
        <v>528</v>
      </c>
      <c r="D116" s="71" t="s">
        <v>29</v>
      </c>
      <c r="E116" s="72">
        <v>40</v>
      </c>
      <c r="F116" s="72">
        <v>1</v>
      </c>
      <c r="G116" s="72">
        <v>1</v>
      </c>
      <c r="H116" s="140">
        <v>30</v>
      </c>
      <c r="I116" s="143">
        <v>30</v>
      </c>
      <c r="J116" s="140">
        <v>30</v>
      </c>
      <c r="K116" s="143">
        <v>30</v>
      </c>
      <c r="L116" s="140"/>
      <c r="M116" s="143"/>
      <c r="N116" s="140"/>
      <c r="O116" s="140"/>
      <c r="P116" s="140"/>
      <c r="Q116" s="140"/>
      <c r="R116" s="140"/>
      <c r="S116" s="140"/>
      <c r="T116" s="140">
        <f>I116+K116+M116+N116+O116+P116+Q116+R116+S116</f>
        <v>60</v>
      </c>
      <c r="U116" s="140">
        <v>5</v>
      </c>
    </row>
    <row r="117" spans="1:21" ht="15.75" customHeight="1">
      <c r="A117" s="71" t="s">
        <v>36</v>
      </c>
      <c r="B117" s="241" t="s">
        <v>137</v>
      </c>
      <c r="C117" s="227" t="s">
        <v>530</v>
      </c>
      <c r="D117" s="71" t="s">
        <v>29</v>
      </c>
      <c r="E117" s="72">
        <v>40</v>
      </c>
      <c r="F117" s="72">
        <v>1</v>
      </c>
      <c r="G117" s="72">
        <v>1</v>
      </c>
      <c r="H117" s="140">
        <v>15</v>
      </c>
      <c r="I117" s="140">
        <v>15</v>
      </c>
      <c r="J117" s="140">
        <v>15</v>
      </c>
      <c r="K117" s="140">
        <v>15</v>
      </c>
      <c r="L117" s="140"/>
      <c r="M117" s="140"/>
      <c r="N117" s="140"/>
      <c r="O117" s="140"/>
      <c r="P117" s="140"/>
      <c r="Q117" s="140"/>
      <c r="R117" s="140"/>
      <c r="S117" s="140"/>
      <c r="T117" s="140">
        <f>(I117+K117+M117+N117+O117+P117+Q117+R117+S117)</f>
        <v>30</v>
      </c>
      <c r="U117" s="140">
        <v>4</v>
      </c>
    </row>
    <row r="118" spans="1:21" ht="15.75" customHeight="1">
      <c r="A118" s="71" t="s">
        <v>36</v>
      </c>
      <c r="B118" s="241" t="s">
        <v>292</v>
      </c>
      <c r="C118" s="227" t="s">
        <v>528</v>
      </c>
      <c r="D118" s="71" t="s">
        <v>294</v>
      </c>
      <c r="E118" s="72">
        <v>50</v>
      </c>
      <c r="F118" s="72">
        <v>1</v>
      </c>
      <c r="G118" s="72">
        <v>2</v>
      </c>
      <c r="H118" s="140">
        <v>30</v>
      </c>
      <c r="I118" s="140">
        <v>30</v>
      </c>
      <c r="J118" s="140">
        <v>30</v>
      </c>
      <c r="K118" s="143">
        <v>60</v>
      </c>
      <c r="L118" s="140"/>
      <c r="M118" s="143"/>
      <c r="N118" s="140"/>
      <c r="O118" s="140"/>
      <c r="P118" s="140"/>
      <c r="Q118" s="140"/>
      <c r="R118" s="140"/>
      <c r="S118" s="140"/>
      <c r="T118" s="140">
        <f>I118+K118+M118+N118+O118+P118+Q118+R118+S118</f>
        <v>90</v>
      </c>
      <c r="U118" s="140">
        <v>5</v>
      </c>
    </row>
    <row r="119" spans="1:21" ht="25.5">
      <c r="A119" s="71" t="s">
        <v>36</v>
      </c>
      <c r="B119" s="241" t="s">
        <v>567</v>
      </c>
      <c r="C119" s="227" t="s">
        <v>537</v>
      </c>
      <c r="D119" s="71" t="s">
        <v>449</v>
      </c>
      <c r="E119" s="72" t="s">
        <v>568</v>
      </c>
      <c r="F119" s="72">
        <v>1</v>
      </c>
      <c r="G119" s="72">
        <v>2</v>
      </c>
      <c r="H119" s="140">
        <v>15</v>
      </c>
      <c r="I119" s="140">
        <v>15</v>
      </c>
      <c r="J119" s="140">
        <v>15</v>
      </c>
      <c r="K119" s="143">
        <v>30</v>
      </c>
      <c r="L119" s="140"/>
      <c r="M119" s="143"/>
      <c r="N119" s="140"/>
      <c r="O119" s="140"/>
      <c r="P119" s="140"/>
      <c r="Q119" s="140"/>
      <c r="R119" s="140"/>
      <c r="S119" s="140"/>
      <c r="T119" s="140">
        <f>(I119+K119+M119+N119+O119+P119+Q119+R119+S119)</f>
        <v>45</v>
      </c>
      <c r="U119" s="140">
        <v>3</v>
      </c>
    </row>
    <row r="120" spans="1:21" ht="25.5">
      <c r="A120" s="71" t="s">
        <v>36</v>
      </c>
      <c r="B120" s="241" t="s">
        <v>569</v>
      </c>
      <c r="C120" s="227" t="s">
        <v>537</v>
      </c>
      <c r="D120" s="71" t="s">
        <v>449</v>
      </c>
      <c r="E120" s="72" t="s">
        <v>570</v>
      </c>
      <c r="F120" s="72">
        <v>1</v>
      </c>
      <c r="G120" s="72">
        <v>2</v>
      </c>
      <c r="H120" s="140">
        <v>15</v>
      </c>
      <c r="I120" s="140">
        <v>15</v>
      </c>
      <c r="J120" s="140">
        <v>15</v>
      </c>
      <c r="K120" s="143">
        <v>30</v>
      </c>
      <c r="L120" s="140"/>
      <c r="M120" s="143"/>
      <c r="N120" s="140"/>
      <c r="O120" s="140"/>
      <c r="P120" s="140"/>
      <c r="Q120" s="140"/>
      <c r="R120" s="140"/>
      <c r="S120" s="140"/>
      <c r="T120" s="140">
        <f>(I120+K120+M120+N120+O120+P120+Q120+R120+S120)</f>
        <v>45</v>
      </c>
      <c r="U120" s="140">
        <v>3</v>
      </c>
    </row>
    <row r="121" spans="1:21" ht="25.5">
      <c r="A121" s="71" t="s">
        <v>36</v>
      </c>
      <c r="B121" s="241" t="s">
        <v>567</v>
      </c>
      <c r="C121" s="227" t="s">
        <v>538</v>
      </c>
      <c r="D121" s="71" t="s">
        <v>449</v>
      </c>
      <c r="E121" s="72" t="s">
        <v>568</v>
      </c>
      <c r="F121" s="72">
        <v>1</v>
      </c>
      <c r="G121" s="72">
        <v>2</v>
      </c>
      <c r="H121" s="140">
        <v>15</v>
      </c>
      <c r="I121" s="140">
        <v>15</v>
      </c>
      <c r="J121" s="140">
        <v>15</v>
      </c>
      <c r="K121" s="143">
        <v>30</v>
      </c>
      <c r="L121" s="140"/>
      <c r="M121" s="143"/>
      <c r="N121" s="140"/>
      <c r="O121" s="140"/>
      <c r="P121" s="140"/>
      <c r="Q121" s="140"/>
      <c r="R121" s="140"/>
      <c r="S121" s="140"/>
      <c r="T121" s="140">
        <f>(I121+K121+M121+N121+O121+P121+Q121+R121+S121)</f>
        <v>45</v>
      </c>
      <c r="U121" s="140">
        <v>3</v>
      </c>
    </row>
    <row r="122" spans="1:21" ht="25.5">
      <c r="A122" s="71" t="s">
        <v>36</v>
      </c>
      <c r="B122" s="241" t="s">
        <v>569</v>
      </c>
      <c r="C122" s="227" t="s">
        <v>538</v>
      </c>
      <c r="D122" s="71" t="s">
        <v>449</v>
      </c>
      <c r="E122" s="72" t="s">
        <v>570</v>
      </c>
      <c r="F122" s="72">
        <v>1</v>
      </c>
      <c r="G122" s="72">
        <v>2</v>
      </c>
      <c r="H122" s="140">
        <v>15</v>
      </c>
      <c r="I122" s="140">
        <v>15</v>
      </c>
      <c r="J122" s="140">
        <v>15</v>
      </c>
      <c r="K122" s="143">
        <v>30</v>
      </c>
      <c r="L122" s="140"/>
      <c r="M122" s="143"/>
      <c r="N122" s="140"/>
      <c r="O122" s="140"/>
      <c r="P122" s="140"/>
      <c r="Q122" s="140"/>
      <c r="R122" s="140"/>
      <c r="S122" s="140"/>
      <c r="T122" s="140">
        <f>(I122+K122+M122+N122+O122+P122+Q122+R122+S122)</f>
        <v>45</v>
      </c>
      <c r="U122" s="140">
        <v>3</v>
      </c>
    </row>
    <row r="123" spans="1:21">
      <c r="A123" s="71" t="s">
        <v>36</v>
      </c>
      <c r="B123" s="241" t="s">
        <v>477</v>
      </c>
      <c r="C123" s="227" t="s">
        <v>538</v>
      </c>
      <c r="D123" s="71" t="s">
        <v>457</v>
      </c>
      <c r="E123" s="72">
        <v>29</v>
      </c>
      <c r="F123" s="72">
        <v>1</v>
      </c>
      <c r="G123" s="72">
        <v>1</v>
      </c>
      <c r="H123" s="140">
        <v>45</v>
      </c>
      <c r="I123" s="140">
        <v>45</v>
      </c>
      <c r="J123" s="140">
        <v>30</v>
      </c>
      <c r="K123" s="143">
        <v>30</v>
      </c>
      <c r="L123" s="140"/>
      <c r="M123" s="143"/>
      <c r="N123" s="140"/>
      <c r="O123" s="140"/>
      <c r="P123" s="140"/>
      <c r="Q123" s="140"/>
      <c r="R123" s="140"/>
      <c r="S123" s="140"/>
      <c r="T123" s="140">
        <f>I123+K123+M123+N123+O123+P123+Q123+R123+S123</f>
        <v>75</v>
      </c>
      <c r="U123" s="140">
        <v>6</v>
      </c>
    </row>
    <row r="124" spans="1:21">
      <c r="A124" s="71" t="s">
        <v>36</v>
      </c>
      <c r="B124" s="71" t="s">
        <v>479</v>
      </c>
      <c r="C124" s="227" t="s">
        <v>538</v>
      </c>
      <c r="D124" s="71" t="s">
        <v>457</v>
      </c>
      <c r="E124" s="72">
        <v>31</v>
      </c>
      <c r="F124" s="72">
        <v>1</v>
      </c>
      <c r="G124" s="72">
        <v>1</v>
      </c>
      <c r="H124" s="140">
        <v>45</v>
      </c>
      <c r="I124" s="140">
        <v>45</v>
      </c>
      <c r="J124" s="140">
        <v>30</v>
      </c>
      <c r="K124" s="143">
        <v>30</v>
      </c>
      <c r="L124" s="140"/>
      <c r="M124" s="143"/>
      <c r="N124" s="140"/>
      <c r="O124" s="140"/>
      <c r="P124" s="140"/>
      <c r="Q124" s="140"/>
      <c r="R124" s="140"/>
      <c r="S124" s="140"/>
      <c r="T124" s="140">
        <f>I124+K124+M124+N124+O124+P124+Q124+R124+S124</f>
        <v>75</v>
      </c>
      <c r="U124" s="140">
        <v>6</v>
      </c>
    </row>
    <row r="125" spans="1:21" ht="19.5" customHeight="1">
      <c r="A125" s="71" t="s">
        <v>36</v>
      </c>
      <c r="B125" s="241" t="s">
        <v>477</v>
      </c>
      <c r="C125" s="227" t="s">
        <v>571</v>
      </c>
      <c r="D125" s="71" t="s">
        <v>457</v>
      </c>
      <c r="E125" s="72">
        <v>29</v>
      </c>
      <c r="F125" s="72">
        <v>1</v>
      </c>
      <c r="G125" s="72">
        <v>1</v>
      </c>
      <c r="H125" s="140">
        <v>30</v>
      </c>
      <c r="I125" s="140">
        <v>30</v>
      </c>
      <c r="J125" s="140">
        <v>15</v>
      </c>
      <c r="K125" s="143">
        <v>15</v>
      </c>
      <c r="L125" s="140"/>
      <c r="M125" s="143"/>
      <c r="N125" s="140"/>
      <c r="O125" s="140"/>
      <c r="P125" s="140"/>
      <c r="Q125" s="140"/>
      <c r="R125" s="140"/>
      <c r="S125" s="140"/>
      <c r="T125" s="140">
        <f>I125+K125+M125+N125+O125+P125+Q125+R125+S125</f>
        <v>45</v>
      </c>
      <c r="U125" s="140">
        <v>4</v>
      </c>
    </row>
    <row r="126" spans="1:21" ht="15.75" customHeight="1">
      <c r="A126" s="71" t="s">
        <v>36</v>
      </c>
      <c r="B126" s="71" t="s">
        <v>479</v>
      </c>
      <c r="C126" s="227" t="s">
        <v>571</v>
      </c>
      <c r="D126" s="71" t="s">
        <v>457</v>
      </c>
      <c r="E126" s="72">
        <v>31</v>
      </c>
      <c r="F126" s="72">
        <v>1</v>
      </c>
      <c r="G126" s="72">
        <v>1</v>
      </c>
      <c r="H126" s="140">
        <v>30</v>
      </c>
      <c r="I126" s="140">
        <v>30</v>
      </c>
      <c r="J126" s="140">
        <v>15</v>
      </c>
      <c r="K126" s="143">
        <v>15</v>
      </c>
      <c r="L126" s="140"/>
      <c r="M126" s="143"/>
      <c r="N126" s="140"/>
      <c r="O126" s="140"/>
      <c r="P126" s="140"/>
      <c r="Q126" s="140"/>
      <c r="R126" s="140"/>
      <c r="S126" s="140"/>
      <c r="T126" s="140">
        <f>I126+K126+M126+N126+O126+P126+Q126+R126+S126</f>
        <v>45</v>
      </c>
      <c r="U126" s="140">
        <v>4</v>
      </c>
    </row>
    <row r="127" spans="1:21">
      <c r="A127" s="71" t="s">
        <v>36</v>
      </c>
      <c r="B127" s="71" t="s">
        <v>481</v>
      </c>
      <c r="C127" s="227" t="s">
        <v>540</v>
      </c>
      <c r="D127" s="138" t="s">
        <v>100</v>
      </c>
      <c r="E127" s="72">
        <v>29</v>
      </c>
      <c r="F127" s="72">
        <v>1</v>
      </c>
      <c r="G127" s="72">
        <v>1</v>
      </c>
      <c r="H127" s="140">
        <v>30</v>
      </c>
      <c r="I127" s="140">
        <v>30</v>
      </c>
      <c r="J127" s="140">
        <v>15</v>
      </c>
      <c r="K127" s="143">
        <v>15</v>
      </c>
      <c r="L127" s="140"/>
      <c r="M127" s="143"/>
      <c r="N127" s="140"/>
      <c r="O127" s="140"/>
      <c r="P127" s="140"/>
      <c r="Q127" s="140"/>
      <c r="R127" s="140"/>
      <c r="S127" s="140"/>
      <c r="T127" s="140">
        <f t="shared" ref="T127:T132" si="8">(I127+K127+M127+N127+O127+P127+Q127+R127+S127)</f>
        <v>45</v>
      </c>
      <c r="U127" s="140">
        <v>5</v>
      </c>
    </row>
    <row r="128" spans="1:21">
      <c r="A128" s="71" t="s">
        <v>36</v>
      </c>
      <c r="B128" s="71" t="s">
        <v>483</v>
      </c>
      <c r="C128" s="227" t="s">
        <v>540</v>
      </c>
      <c r="D128" s="138" t="s">
        <v>100</v>
      </c>
      <c r="E128" s="72">
        <v>21</v>
      </c>
      <c r="F128" s="72">
        <v>1</v>
      </c>
      <c r="G128" s="72">
        <v>1</v>
      </c>
      <c r="H128" s="140">
        <v>30</v>
      </c>
      <c r="I128" s="140">
        <v>30</v>
      </c>
      <c r="J128" s="140">
        <v>15</v>
      </c>
      <c r="K128" s="143">
        <v>15</v>
      </c>
      <c r="L128" s="140"/>
      <c r="M128" s="143"/>
      <c r="N128" s="140"/>
      <c r="O128" s="140"/>
      <c r="P128" s="140"/>
      <c r="Q128" s="140"/>
      <c r="R128" s="140"/>
      <c r="S128" s="140"/>
      <c r="T128" s="140">
        <f t="shared" si="8"/>
        <v>45</v>
      </c>
      <c r="U128" s="140">
        <v>5</v>
      </c>
    </row>
    <row r="129" spans="1:21">
      <c r="A129" s="71" t="s">
        <v>36</v>
      </c>
      <c r="B129" s="71" t="s">
        <v>393</v>
      </c>
      <c r="C129" s="227" t="s">
        <v>550</v>
      </c>
      <c r="D129" s="71" t="s">
        <v>80</v>
      </c>
      <c r="E129" s="72">
        <v>17</v>
      </c>
      <c r="F129" s="72">
        <v>1</v>
      </c>
      <c r="G129" s="72">
        <v>1</v>
      </c>
      <c r="H129" s="140">
        <v>45</v>
      </c>
      <c r="I129" s="140">
        <v>45</v>
      </c>
      <c r="J129" s="140">
        <v>30</v>
      </c>
      <c r="K129" s="143">
        <v>30</v>
      </c>
      <c r="L129" s="140">
        <v>15</v>
      </c>
      <c r="M129" s="143">
        <v>15</v>
      </c>
      <c r="N129" s="140"/>
      <c r="O129" s="140"/>
      <c r="P129" s="140"/>
      <c r="Q129" s="140"/>
      <c r="R129" s="140"/>
      <c r="S129" s="140"/>
      <c r="T129" s="140">
        <f t="shared" si="8"/>
        <v>90</v>
      </c>
      <c r="U129" s="140">
        <v>7</v>
      </c>
    </row>
    <row r="130" spans="1:21" ht="25.5">
      <c r="A130" s="71" t="s">
        <v>36</v>
      </c>
      <c r="B130" s="71" t="s">
        <v>393</v>
      </c>
      <c r="C130" s="71" t="s">
        <v>572</v>
      </c>
      <c r="D130" s="71" t="s">
        <v>80</v>
      </c>
      <c r="E130" s="72">
        <v>17</v>
      </c>
      <c r="F130" s="72">
        <v>1</v>
      </c>
      <c r="G130" s="72">
        <v>1</v>
      </c>
      <c r="H130" s="140">
        <v>45</v>
      </c>
      <c r="I130" s="140">
        <v>45</v>
      </c>
      <c r="J130" s="140">
        <v>30</v>
      </c>
      <c r="K130" s="143">
        <v>30</v>
      </c>
      <c r="L130" s="140"/>
      <c r="M130" s="143"/>
      <c r="N130" s="140"/>
      <c r="O130" s="140"/>
      <c r="P130" s="140"/>
      <c r="Q130" s="140"/>
      <c r="R130" s="140"/>
      <c r="S130" s="140"/>
      <c r="T130" s="140">
        <f t="shared" si="8"/>
        <v>75</v>
      </c>
      <c r="U130" s="140">
        <v>6</v>
      </c>
    </row>
    <row r="131" spans="1:21" ht="51">
      <c r="A131" s="71" t="s">
        <v>36</v>
      </c>
      <c r="B131" s="71" t="s">
        <v>393</v>
      </c>
      <c r="C131" s="71" t="s">
        <v>573</v>
      </c>
      <c r="D131" s="71" t="s">
        <v>80</v>
      </c>
      <c r="E131" s="72">
        <v>17</v>
      </c>
      <c r="F131" s="72">
        <v>1</v>
      </c>
      <c r="G131" s="72">
        <v>1</v>
      </c>
      <c r="H131" s="140">
        <v>30</v>
      </c>
      <c r="I131" s="140">
        <v>30</v>
      </c>
      <c r="J131" s="140">
        <v>30</v>
      </c>
      <c r="K131" s="143">
        <v>30</v>
      </c>
      <c r="L131" s="140"/>
      <c r="M131" s="143"/>
      <c r="N131" s="140"/>
      <c r="O131" s="140"/>
      <c r="P131" s="140"/>
      <c r="Q131" s="140"/>
      <c r="R131" s="140"/>
      <c r="S131" s="140"/>
      <c r="T131" s="140">
        <f t="shared" si="8"/>
        <v>60</v>
      </c>
      <c r="U131" s="140">
        <v>6</v>
      </c>
    </row>
    <row r="132" spans="1:21" ht="38.25">
      <c r="A132" s="71" t="s">
        <v>36</v>
      </c>
      <c r="B132" s="71" t="s">
        <v>393</v>
      </c>
      <c r="C132" s="71" t="s">
        <v>574</v>
      </c>
      <c r="D132" s="71" t="s">
        <v>80</v>
      </c>
      <c r="E132" s="72">
        <v>17</v>
      </c>
      <c r="F132" s="72">
        <v>1</v>
      </c>
      <c r="G132" s="72">
        <v>1</v>
      </c>
      <c r="H132" s="140">
        <v>30</v>
      </c>
      <c r="I132" s="140">
        <v>30</v>
      </c>
      <c r="J132" s="140">
        <v>30</v>
      </c>
      <c r="K132" s="143">
        <v>30</v>
      </c>
      <c r="L132" s="140"/>
      <c r="M132" s="143"/>
      <c r="N132" s="140"/>
      <c r="O132" s="140"/>
      <c r="P132" s="140"/>
      <c r="Q132" s="140"/>
      <c r="R132" s="140"/>
      <c r="S132" s="140"/>
      <c r="T132" s="140">
        <f t="shared" si="8"/>
        <v>60</v>
      </c>
      <c r="U132" s="140">
        <v>5</v>
      </c>
    </row>
    <row r="133" spans="1:21" ht="25.5">
      <c r="A133" s="71" t="s">
        <v>36</v>
      </c>
      <c r="B133" s="71" t="s">
        <v>491</v>
      </c>
      <c r="C133" s="227" t="s">
        <v>575</v>
      </c>
      <c r="D133" s="71" t="s">
        <v>93</v>
      </c>
      <c r="E133" s="72">
        <v>25</v>
      </c>
      <c r="F133" s="72">
        <v>1</v>
      </c>
      <c r="G133" s="72">
        <v>1</v>
      </c>
      <c r="H133" s="140">
        <v>30</v>
      </c>
      <c r="I133" s="140">
        <v>30</v>
      </c>
      <c r="J133" s="140">
        <v>30</v>
      </c>
      <c r="K133" s="140">
        <v>30</v>
      </c>
      <c r="L133" s="140"/>
      <c r="M133" s="143"/>
      <c r="N133" s="140"/>
      <c r="O133" s="140"/>
      <c r="P133" s="140"/>
      <c r="Q133" s="140"/>
      <c r="R133" s="140"/>
      <c r="S133" s="140"/>
      <c r="T133" s="140">
        <f>I133+K133+M133+N133+O133+P133+Q133+R133+S133</f>
        <v>60</v>
      </c>
      <c r="U133" s="140">
        <v>6</v>
      </c>
    </row>
    <row r="134" spans="1:21" ht="28.5" customHeight="1">
      <c r="A134" s="71" t="s">
        <v>36</v>
      </c>
      <c r="B134" s="71" t="s">
        <v>491</v>
      </c>
      <c r="C134" s="71" t="s">
        <v>576</v>
      </c>
      <c r="D134" s="71" t="s">
        <v>93</v>
      </c>
      <c r="E134" s="72">
        <v>25</v>
      </c>
      <c r="F134" s="72">
        <v>1</v>
      </c>
      <c r="G134" s="72">
        <v>1</v>
      </c>
      <c r="H134" s="140">
        <v>45</v>
      </c>
      <c r="I134" s="140">
        <v>45</v>
      </c>
      <c r="J134" s="140">
        <v>45</v>
      </c>
      <c r="K134" s="140">
        <v>45</v>
      </c>
      <c r="L134" s="140"/>
      <c r="M134" s="143"/>
      <c r="N134" s="140"/>
      <c r="O134" s="140"/>
      <c r="P134" s="140"/>
      <c r="Q134" s="140"/>
      <c r="R134" s="140"/>
      <c r="S134" s="140"/>
      <c r="T134" s="140">
        <f>I134+K134+M134+N134+O134+P134+Q134+R134+S134</f>
        <v>90</v>
      </c>
      <c r="U134" s="140">
        <v>8</v>
      </c>
    </row>
    <row r="135" spans="1:21" ht="25.5">
      <c r="A135" s="71" t="s">
        <v>36</v>
      </c>
      <c r="B135" s="71" t="s">
        <v>491</v>
      </c>
      <c r="C135" s="71" t="s">
        <v>577</v>
      </c>
      <c r="D135" s="71" t="s">
        <v>93</v>
      </c>
      <c r="E135" s="72">
        <v>25</v>
      </c>
      <c r="F135" s="72">
        <v>1</v>
      </c>
      <c r="G135" s="72">
        <v>1</v>
      </c>
      <c r="H135" s="140">
        <v>30</v>
      </c>
      <c r="I135" s="140">
        <v>30</v>
      </c>
      <c r="J135" s="140">
        <v>30</v>
      </c>
      <c r="K135" s="140">
        <v>30</v>
      </c>
      <c r="L135" s="140"/>
      <c r="M135" s="143"/>
      <c r="N135" s="140"/>
      <c r="O135" s="140"/>
      <c r="P135" s="140"/>
      <c r="Q135" s="140"/>
      <c r="R135" s="140"/>
      <c r="S135" s="140"/>
      <c r="T135" s="140">
        <f>I135+K135+M135+N135+O135+P135+Q135+R135+S135</f>
        <v>60</v>
      </c>
      <c r="U135" s="140">
        <v>5</v>
      </c>
    </row>
    <row r="136" spans="1:21" ht="63.75">
      <c r="A136" s="71" t="s">
        <v>36</v>
      </c>
      <c r="B136" s="71" t="s">
        <v>491</v>
      </c>
      <c r="C136" s="71" t="s">
        <v>578</v>
      </c>
      <c r="D136" s="71" t="s">
        <v>93</v>
      </c>
      <c r="E136" s="72">
        <v>25</v>
      </c>
      <c r="F136" s="72">
        <v>1</v>
      </c>
      <c r="G136" s="72">
        <v>1</v>
      </c>
      <c r="H136" s="140">
        <v>30</v>
      </c>
      <c r="I136" s="140">
        <v>30</v>
      </c>
      <c r="J136" s="140">
        <v>15</v>
      </c>
      <c r="K136" s="140">
        <v>15</v>
      </c>
      <c r="L136" s="140"/>
      <c r="M136" s="143"/>
      <c r="N136" s="140"/>
      <c r="O136" s="140"/>
      <c r="P136" s="140"/>
      <c r="Q136" s="140"/>
      <c r="R136" s="140"/>
      <c r="S136" s="140"/>
      <c r="T136" s="140">
        <f>I136+K136+M136+N136+O136+P136+Q136+R136+S136</f>
        <v>45</v>
      </c>
      <c r="U136" s="140">
        <v>4</v>
      </c>
    </row>
    <row r="137" spans="1:21">
      <c r="A137" s="71" t="s">
        <v>36</v>
      </c>
      <c r="B137" s="71" t="s">
        <v>579</v>
      </c>
      <c r="C137" s="71" t="s">
        <v>532</v>
      </c>
      <c r="D137" s="71" t="s">
        <v>78</v>
      </c>
      <c r="E137" s="72">
        <v>27</v>
      </c>
      <c r="F137" s="72">
        <v>1</v>
      </c>
      <c r="G137" s="72">
        <v>1</v>
      </c>
      <c r="H137" s="140">
        <v>45</v>
      </c>
      <c r="I137" s="140">
        <v>45</v>
      </c>
      <c r="J137" s="140">
        <v>30</v>
      </c>
      <c r="K137" s="143">
        <v>30</v>
      </c>
      <c r="L137" s="140"/>
      <c r="M137" s="143"/>
      <c r="N137" s="140"/>
      <c r="O137" s="140"/>
      <c r="P137" s="140"/>
      <c r="Q137" s="140"/>
      <c r="R137" s="140"/>
      <c r="S137" s="140"/>
      <c r="T137" s="140">
        <f>(I137+K137+M137+N137+O137+P137+Q137+R137+S137)</f>
        <v>75</v>
      </c>
      <c r="U137" s="140">
        <v>6</v>
      </c>
    </row>
    <row r="138" spans="1:21">
      <c r="A138" s="71" t="s">
        <v>36</v>
      </c>
      <c r="B138" s="71" t="s">
        <v>496</v>
      </c>
      <c r="C138" s="71" t="s">
        <v>532</v>
      </c>
      <c r="D138" s="71" t="s">
        <v>78</v>
      </c>
      <c r="E138" s="72">
        <v>25</v>
      </c>
      <c r="F138" s="72">
        <v>1</v>
      </c>
      <c r="G138" s="72">
        <v>1</v>
      </c>
      <c r="H138" s="140">
        <v>45</v>
      </c>
      <c r="I138" s="140">
        <v>45</v>
      </c>
      <c r="J138" s="140">
        <v>30</v>
      </c>
      <c r="K138" s="143">
        <v>30</v>
      </c>
      <c r="L138" s="140"/>
      <c r="M138" s="143"/>
      <c r="N138" s="140"/>
      <c r="O138" s="140"/>
      <c r="P138" s="140"/>
      <c r="Q138" s="140"/>
      <c r="R138" s="140"/>
      <c r="S138" s="140"/>
      <c r="T138" s="140">
        <f>(I138+K138+M138+N138+O138+P138+Q138+R138+S138)</f>
        <v>75</v>
      </c>
      <c r="U138" s="140">
        <v>6</v>
      </c>
    </row>
    <row r="139" spans="1:21">
      <c r="A139" s="71" t="s">
        <v>36</v>
      </c>
      <c r="B139" s="71" t="s">
        <v>498</v>
      </c>
      <c r="C139" s="227" t="s">
        <v>537</v>
      </c>
      <c r="D139" s="71" t="s">
        <v>457</v>
      </c>
      <c r="E139" s="72">
        <v>30</v>
      </c>
      <c r="F139" s="72">
        <v>1</v>
      </c>
      <c r="G139" s="72">
        <v>1</v>
      </c>
      <c r="H139" s="140">
        <v>30</v>
      </c>
      <c r="I139" s="140">
        <v>30</v>
      </c>
      <c r="J139" s="140">
        <v>30</v>
      </c>
      <c r="K139" s="143">
        <v>30</v>
      </c>
      <c r="L139" s="140"/>
      <c r="M139" s="143"/>
      <c r="N139" s="140"/>
      <c r="O139" s="140"/>
      <c r="P139" s="140"/>
      <c r="Q139" s="140"/>
      <c r="R139" s="140"/>
      <c r="S139" s="140"/>
      <c r="T139" s="140">
        <f>I139+K139+M139+N139+O139+P139+Q139+R139+S139</f>
        <v>60</v>
      </c>
      <c r="U139" s="140">
        <v>6</v>
      </c>
    </row>
    <row r="140" spans="1:21" ht="38.25">
      <c r="A140" s="71" t="s">
        <v>36</v>
      </c>
      <c r="B140" s="71" t="s">
        <v>580</v>
      </c>
      <c r="C140" s="71" t="s">
        <v>581</v>
      </c>
      <c r="D140" s="71" t="s">
        <v>79</v>
      </c>
      <c r="E140" s="72">
        <v>21</v>
      </c>
      <c r="F140" s="72">
        <v>1</v>
      </c>
      <c r="G140" s="72">
        <v>1</v>
      </c>
      <c r="H140" s="140">
        <v>30</v>
      </c>
      <c r="I140" s="140">
        <v>30</v>
      </c>
      <c r="J140" s="140">
        <v>15</v>
      </c>
      <c r="K140" s="143">
        <v>15</v>
      </c>
      <c r="L140" s="140"/>
      <c r="M140" s="143"/>
      <c r="N140" s="140"/>
      <c r="O140" s="140"/>
      <c r="P140" s="140"/>
      <c r="Q140" s="140"/>
      <c r="R140" s="140"/>
      <c r="S140" s="140"/>
      <c r="T140" s="140">
        <f t="shared" ref="T140:T147" si="9">(I140+K140+M140+N140+O140+P140+Q140+R140+S140)</f>
        <v>45</v>
      </c>
      <c r="U140" s="140">
        <v>4</v>
      </c>
    </row>
    <row r="141" spans="1:21" ht="38.25">
      <c r="A141" s="71" t="s">
        <v>36</v>
      </c>
      <c r="B141" s="71" t="s">
        <v>582</v>
      </c>
      <c r="C141" s="71" t="s">
        <v>581</v>
      </c>
      <c r="D141" s="71" t="s">
        <v>79</v>
      </c>
      <c r="E141" s="72">
        <v>18</v>
      </c>
      <c r="F141" s="72">
        <v>1</v>
      </c>
      <c r="G141" s="72">
        <v>1</v>
      </c>
      <c r="H141" s="140">
        <v>30</v>
      </c>
      <c r="I141" s="140">
        <v>30</v>
      </c>
      <c r="J141" s="140">
        <v>15</v>
      </c>
      <c r="K141" s="143">
        <v>15</v>
      </c>
      <c r="L141" s="140"/>
      <c r="M141" s="143"/>
      <c r="N141" s="140"/>
      <c r="O141" s="140"/>
      <c r="P141" s="140"/>
      <c r="Q141" s="140"/>
      <c r="R141" s="140"/>
      <c r="S141" s="140"/>
      <c r="T141" s="140">
        <f t="shared" si="9"/>
        <v>45</v>
      </c>
      <c r="U141" s="140">
        <v>4</v>
      </c>
    </row>
    <row r="142" spans="1:21">
      <c r="A142" s="71" t="s">
        <v>36</v>
      </c>
      <c r="B142" s="71" t="s">
        <v>501</v>
      </c>
      <c r="C142" s="71" t="s">
        <v>583</v>
      </c>
      <c r="D142" s="71" t="s">
        <v>80</v>
      </c>
      <c r="E142" s="72">
        <v>6</v>
      </c>
      <c r="F142" s="72">
        <v>1</v>
      </c>
      <c r="G142" s="72">
        <v>1</v>
      </c>
      <c r="H142" s="140">
        <v>45</v>
      </c>
      <c r="I142" s="140">
        <v>45</v>
      </c>
      <c r="J142" s="140">
        <v>30</v>
      </c>
      <c r="K142" s="143">
        <v>30</v>
      </c>
      <c r="L142" s="140"/>
      <c r="M142" s="143"/>
      <c r="N142" s="140"/>
      <c r="O142" s="140"/>
      <c r="P142" s="140"/>
      <c r="Q142" s="140"/>
      <c r="R142" s="140"/>
      <c r="S142" s="140"/>
      <c r="T142" s="140">
        <f t="shared" si="9"/>
        <v>75</v>
      </c>
      <c r="U142" s="140">
        <v>6</v>
      </c>
    </row>
    <row r="143" spans="1:21">
      <c r="A143" s="71" t="s">
        <v>36</v>
      </c>
      <c r="B143" s="71" t="s">
        <v>501</v>
      </c>
      <c r="C143" s="71" t="s">
        <v>584</v>
      </c>
      <c r="D143" s="71" t="s">
        <v>80</v>
      </c>
      <c r="E143" s="72">
        <v>6</v>
      </c>
      <c r="F143" s="72">
        <v>1</v>
      </c>
      <c r="G143" s="72">
        <v>1</v>
      </c>
      <c r="H143" s="140">
        <v>45</v>
      </c>
      <c r="I143" s="140">
        <v>45</v>
      </c>
      <c r="J143" s="140">
        <v>45</v>
      </c>
      <c r="K143" s="143">
        <v>45</v>
      </c>
      <c r="L143" s="140"/>
      <c r="M143" s="143"/>
      <c r="N143" s="140"/>
      <c r="O143" s="140"/>
      <c r="P143" s="140"/>
      <c r="Q143" s="140"/>
      <c r="R143" s="140"/>
      <c r="S143" s="140"/>
      <c r="T143" s="140">
        <f t="shared" si="9"/>
        <v>90</v>
      </c>
      <c r="U143" s="140">
        <v>7</v>
      </c>
    </row>
    <row r="144" spans="1:21">
      <c r="A144" s="71" t="s">
        <v>36</v>
      </c>
      <c r="B144" s="71" t="s">
        <v>501</v>
      </c>
      <c r="C144" s="71" t="s">
        <v>585</v>
      </c>
      <c r="D144" s="71" t="s">
        <v>80</v>
      </c>
      <c r="E144" s="72">
        <v>6</v>
      </c>
      <c r="F144" s="72">
        <v>1</v>
      </c>
      <c r="G144" s="72">
        <v>1</v>
      </c>
      <c r="H144" s="140">
        <v>30</v>
      </c>
      <c r="I144" s="140">
        <v>30</v>
      </c>
      <c r="J144" s="140">
        <v>30</v>
      </c>
      <c r="K144" s="143">
        <v>30</v>
      </c>
      <c r="L144" s="140"/>
      <c r="M144" s="143"/>
      <c r="N144" s="140"/>
      <c r="O144" s="140"/>
      <c r="P144" s="140"/>
      <c r="Q144" s="140"/>
      <c r="R144" s="140"/>
      <c r="S144" s="140"/>
      <c r="T144" s="140">
        <f t="shared" si="9"/>
        <v>60</v>
      </c>
      <c r="U144" s="140">
        <v>6</v>
      </c>
    </row>
    <row r="145" spans="1:21" ht="38.25">
      <c r="A145" s="71" t="s">
        <v>36</v>
      </c>
      <c r="B145" s="71" t="s">
        <v>501</v>
      </c>
      <c r="C145" s="71" t="s">
        <v>586</v>
      </c>
      <c r="D145" s="71" t="s">
        <v>80</v>
      </c>
      <c r="E145" s="72">
        <v>6</v>
      </c>
      <c r="F145" s="72">
        <v>1</v>
      </c>
      <c r="G145" s="72">
        <v>1</v>
      </c>
      <c r="H145" s="140">
        <v>30</v>
      </c>
      <c r="I145" s="140">
        <v>30</v>
      </c>
      <c r="J145" s="140">
        <v>20</v>
      </c>
      <c r="K145" s="143">
        <v>20</v>
      </c>
      <c r="L145" s="140">
        <v>10</v>
      </c>
      <c r="M145" s="143">
        <v>10</v>
      </c>
      <c r="N145" s="140"/>
      <c r="O145" s="140"/>
      <c r="P145" s="140"/>
      <c r="Q145" s="140"/>
      <c r="R145" s="140"/>
      <c r="S145" s="140"/>
      <c r="T145" s="140">
        <f t="shared" si="9"/>
        <v>60</v>
      </c>
      <c r="U145" s="140">
        <v>6</v>
      </c>
    </row>
    <row r="146" spans="1:21" ht="51">
      <c r="A146" s="71" t="s">
        <v>36</v>
      </c>
      <c r="B146" s="71" t="s">
        <v>501</v>
      </c>
      <c r="C146" s="71" t="s">
        <v>587</v>
      </c>
      <c r="D146" s="71" t="s">
        <v>80</v>
      </c>
      <c r="E146" s="72">
        <v>6</v>
      </c>
      <c r="F146" s="72">
        <v>1</v>
      </c>
      <c r="G146" s="72">
        <v>1</v>
      </c>
      <c r="H146" s="140">
        <v>30</v>
      </c>
      <c r="I146" s="140">
        <v>30</v>
      </c>
      <c r="J146" s="140">
        <v>15</v>
      </c>
      <c r="K146" s="143">
        <v>15</v>
      </c>
      <c r="L146" s="140"/>
      <c r="M146" s="143"/>
      <c r="N146" s="140"/>
      <c r="O146" s="140"/>
      <c r="P146" s="140"/>
      <c r="Q146" s="140"/>
      <c r="R146" s="140"/>
      <c r="S146" s="140"/>
      <c r="T146" s="140">
        <f t="shared" si="9"/>
        <v>45</v>
      </c>
      <c r="U146" s="140">
        <v>5</v>
      </c>
    </row>
    <row r="147" spans="1:21">
      <c r="A147" s="71" t="s">
        <v>36</v>
      </c>
      <c r="B147" s="241" t="s">
        <v>160</v>
      </c>
      <c r="C147" s="71" t="s">
        <v>588</v>
      </c>
      <c r="D147" s="71" t="s">
        <v>136</v>
      </c>
      <c r="E147" s="72">
        <v>37</v>
      </c>
      <c r="F147" s="72">
        <v>1</v>
      </c>
      <c r="G147" s="72">
        <v>1</v>
      </c>
      <c r="H147" s="140">
        <v>30</v>
      </c>
      <c r="I147" s="140">
        <v>30</v>
      </c>
      <c r="J147" s="140">
        <v>30</v>
      </c>
      <c r="K147" s="143">
        <v>30</v>
      </c>
      <c r="L147" s="140"/>
      <c r="M147" s="143"/>
      <c r="N147" s="140"/>
      <c r="O147" s="140"/>
      <c r="P147" s="140"/>
      <c r="Q147" s="140"/>
      <c r="R147" s="140"/>
      <c r="S147" s="140"/>
      <c r="T147" s="140">
        <f t="shared" si="9"/>
        <v>60</v>
      </c>
      <c r="U147" s="140">
        <v>6</v>
      </c>
    </row>
    <row r="148" spans="1:21" ht="38.25">
      <c r="A148" s="71" t="s">
        <v>36</v>
      </c>
      <c r="B148" s="71" t="s">
        <v>589</v>
      </c>
      <c r="C148" s="71" t="s">
        <v>590</v>
      </c>
      <c r="D148" s="71" t="s">
        <v>79</v>
      </c>
      <c r="E148" s="72">
        <v>17</v>
      </c>
      <c r="F148" s="72">
        <v>1</v>
      </c>
      <c r="G148" s="72">
        <v>1</v>
      </c>
      <c r="H148" s="140">
        <v>30</v>
      </c>
      <c r="I148" s="140">
        <v>30</v>
      </c>
      <c r="J148" s="140">
        <v>15</v>
      </c>
      <c r="K148" s="143">
        <v>15</v>
      </c>
      <c r="L148" s="140"/>
      <c r="M148" s="143"/>
      <c r="N148" s="140"/>
      <c r="O148" s="140"/>
      <c r="P148" s="140"/>
      <c r="Q148" s="140"/>
      <c r="R148" s="140"/>
      <c r="S148" s="140"/>
      <c r="T148" s="140">
        <f>I148+K148+M148+N148+O148+P148+Q148+R148+S148</f>
        <v>45</v>
      </c>
      <c r="U148" s="140">
        <v>4</v>
      </c>
    </row>
    <row r="149" spans="1:21" ht="38.25">
      <c r="A149" s="71" t="s">
        <v>36</v>
      </c>
      <c r="B149" s="71" t="s">
        <v>591</v>
      </c>
      <c r="C149" s="71" t="s">
        <v>590</v>
      </c>
      <c r="D149" s="71" t="s">
        <v>79</v>
      </c>
      <c r="E149" s="72">
        <v>13</v>
      </c>
      <c r="F149" s="72">
        <v>1</v>
      </c>
      <c r="G149" s="72">
        <v>1</v>
      </c>
      <c r="H149" s="140">
        <v>30</v>
      </c>
      <c r="I149" s="140">
        <v>30</v>
      </c>
      <c r="J149" s="140">
        <v>15</v>
      </c>
      <c r="K149" s="143">
        <v>15</v>
      </c>
      <c r="L149" s="140"/>
      <c r="M149" s="143"/>
      <c r="N149" s="140"/>
      <c r="O149" s="140"/>
      <c r="P149" s="140"/>
      <c r="Q149" s="140"/>
      <c r="R149" s="140"/>
      <c r="S149" s="140"/>
      <c r="T149" s="140">
        <f>I149+K149+M149+N149+O149+P149+Q149+R149+S149</f>
        <v>45</v>
      </c>
      <c r="U149" s="140">
        <v>4</v>
      </c>
    </row>
    <row r="150" spans="1:21">
      <c r="A150" s="71" t="s">
        <v>36</v>
      </c>
      <c r="B150" s="71" t="s">
        <v>535</v>
      </c>
      <c r="C150" s="71" t="s">
        <v>592</v>
      </c>
      <c r="D150" s="71" t="s">
        <v>457</v>
      </c>
      <c r="E150" s="72">
        <v>5</v>
      </c>
      <c r="F150" s="72">
        <v>1</v>
      </c>
      <c r="G150" s="72">
        <v>1</v>
      </c>
      <c r="H150" s="140">
        <v>10</v>
      </c>
      <c r="I150" s="140">
        <v>10</v>
      </c>
      <c r="J150" s="140">
        <v>10</v>
      </c>
      <c r="K150" s="140">
        <v>10</v>
      </c>
      <c r="L150" s="140"/>
      <c r="M150" s="140"/>
      <c r="N150" s="140"/>
      <c r="O150" s="140"/>
      <c r="P150" s="140"/>
      <c r="Q150" s="140"/>
      <c r="R150" s="140"/>
      <c r="S150" s="140"/>
      <c r="T150" s="140">
        <f>(I150+K150+M150+N150+O150+P150+Q150+R150+S150)</f>
        <v>20</v>
      </c>
      <c r="U150" s="140">
        <v>6</v>
      </c>
    </row>
    <row r="151" spans="1:21">
      <c r="A151" s="71" t="s">
        <v>36</v>
      </c>
      <c r="B151" s="71" t="s">
        <v>593</v>
      </c>
      <c r="C151" s="71" t="s">
        <v>520</v>
      </c>
      <c r="D151" s="71" t="s">
        <v>457</v>
      </c>
      <c r="E151" s="72">
        <v>10</v>
      </c>
      <c r="F151" s="72">
        <v>1</v>
      </c>
      <c r="G151" s="72">
        <v>1</v>
      </c>
      <c r="H151" s="140">
        <v>10</v>
      </c>
      <c r="I151" s="140">
        <v>10</v>
      </c>
      <c r="J151" s="140">
        <v>5</v>
      </c>
      <c r="K151" s="140">
        <v>5</v>
      </c>
      <c r="L151" s="140"/>
      <c r="M151" s="140"/>
      <c r="N151" s="140"/>
      <c r="O151" s="140"/>
      <c r="P151" s="140"/>
      <c r="Q151" s="140"/>
      <c r="R151" s="140"/>
      <c r="S151" s="140"/>
      <c r="T151" s="140">
        <f>I151+K151+M151</f>
        <v>15</v>
      </c>
      <c r="U151" s="140">
        <v>4</v>
      </c>
    </row>
    <row r="152" spans="1:21" ht="51">
      <c r="A152" s="71" t="s">
        <v>36</v>
      </c>
      <c r="B152" s="71" t="s">
        <v>593</v>
      </c>
      <c r="C152" s="139" t="s">
        <v>594</v>
      </c>
      <c r="D152" s="71" t="s">
        <v>457</v>
      </c>
      <c r="E152" s="72">
        <v>10</v>
      </c>
      <c r="F152" s="72">
        <v>1</v>
      </c>
      <c r="G152" s="72">
        <v>1</v>
      </c>
      <c r="H152" s="140">
        <v>10</v>
      </c>
      <c r="I152" s="140">
        <v>10</v>
      </c>
      <c r="J152" s="140">
        <v>5</v>
      </c>
      <c r="K152" s="140">
        <v>5</v>
      </c>
      <c r="L152" s="140"/>
      <c r="M152" s="140"/>
      <c r="N152" s="140"/>
      <c r="O152" s="140"/>
      <c r="P152" s="140"/>
      <c r="Q152" s="140"/>
      <c r="R152" s="140"/>
      <c r="S152" s="140"/>
      <c r="T152" s="140">
        <f>I152+K152+M152</f>
        <v>15</v>
      </c>
      <c r="U152" s="140">
        <v>4</v>
      </c>
    </row>
    <row r="153" spans="1:21" ht="63.75">
      <c r="A153" s="71" t="s">
        <v>36</v>
      </c>
      <c r="B153" s="71" t="s">
        <v>595</v>
      </c>
      <c r="C153" s="71" t="s">
        <v>596</v>
      </c>
      <c r="D153" s="71" t="s">
        <v>79</v>
      </c>
      <c r="E153" s="72">
        <v>5</v>
      </c>
      <c r="F153" s="72">
        <v>1</v>
      </c>
      <c r="G153" s="72">
        <v>1</v>
      </c>
      <c r="H153" s="140">
        <v>10</v>
      </c>
      <c r="I153" s="140">
        <v>10</v>
      </c>
      <c r="J153" s="140">
        <v>5</v>
      </c>
      <c r="K153" s="140">
        <v>5</v>
      </c>
      <c r="L153" s="140"/>
      <c r="M153" s="143"/>
      <c r="N153" s="140"/>
      <c r="O153" s="140"/>
      <c r="P153" s="140"/>
      <c r="Q153" s="140"/>
      <c r="R153" s="140"/>
      <c r="S153" s="140"/>
      <c r="T153" s="140">
        <f>I153+K153+M153+N153+O153+P153+Q153+R153+S153</f>
        <v>15</v>
      </c>
      <c r="U153" s="140">
        <v>5</v>
      </c>
    </row>
    <row r="154" spans="1:21">
      <c r="A154" s="71" t="s">
        <v>36</v>
      </c>
      <c r="B154" s="71" t="s">
        <v>86</v>
      </c>
      <c r="C154" s="227" t="s">
        <v>597</v>
      </c>
      <c r="D154" s="71" t="s">
        <v>290</v>
      </c>
      <c r="E154" s="72">
        <v>22</v>
      </c>
      <c r="F154" s="72">
        <v>1</v>
      </c>
      <c r="G154" s="72">
        <v>1</v>
      </c>
      <c r="H154" s="140">
        <v>30</v>
      </c>
      <c r="I154" s="140">
        <v>30</v>
      </c>
      <c r="J154" s="140"/>
      <c r="K154" s="143"/>
      <c r="L154" s="140">
        <v>30</v>
      </c>
      <c r="M154" s="143">
        <v>30</v>
      </c>
      <c r="N154" s="140"/>
      <c r="O154" s="140"/>
      <c r="P154" s="140"/>
      <c r="Q154" s="140"/>
      <c r="R154" s="140"/>
      <c r="S154" s="140"/>
      <c r="T154" s="140">
        <f>I154+K154+M154+N154+O154+P154+Q154+R154+S154</f>
        <v>60</v>
      </c>
      <c r="U154" s="140">
        <v>5</v>
      </c>
    </row>
    <row r="155" spans="1:21">
      <c r="A155" s="71" t="s">
        <v>36</v>
      </c>
      <c r="B155" s="71" t="s">
        <v>87</v>
      </c>
      <c r="C155" s="227" t="s">
        <v>597</v>
      </c>
      <c r="D155" s="71" t="s">
        <v>290</v>
      </c>
      <c r="E155" s="72">
        <v>23</v>
      </c>
      <c r="F155" s="72">
        <v>1</v>
      </c>
      <c r="G155" s="72">
        <v>1</v>
      </c>
      <c r="H155" s="140">
        <v>30</v>
      </c>
      <c r="I155" s="140">
        <v>30</v>
      </c>
      <c r="J155" s="140"/>
      <c r="K155" s="143"/>
      <c r="L155" s="140">
        <v>30</v>
      </c>
      <c r="M155" s="143">
        <v>30</v>
      </c>
      <c r="N155" s="140"/>
      <c r="O155" s="140"/>
      <c r="P155" s="140"/>
      <c r="Q155" s="140"/>
      <c r="R155" s="140"/>
      <c r="S155" s="140"/>
      <c r="T155" s="140">
        <f>I155+K155+M155+N155+O155+P155+Q155+R155+S155</f>
        <v>60</v>
      </c>
      <c r="U155" s="140">
        <v>5</v>
      </c>
    </row>
    <row r="156" spans="1:21">
      <c r="A156" s="71" t="s">
        <v>36</v>
      </c>
      <c r="B156" s="71" t="s">
        <v>95</v>
      </c>
      <c r="C156" s="227" t="s">
        <v>545</v>
      </c>
      <c r="D156" s="71" t="s">
        <v>85</v>
      </c>
      <c r="E156" s="72">
        <v>35</v>
      </c>
      <c r="F156" s="72">
        <v>1</v>
      </c>
      <c r="G156" s="72">
        <v>1</v>
      </c>
      <c r="H156" s="140">
        <v>15</v>
      </c>
      <c r="I156" s="140">
        <v>15</v>
      </c>
      <c r="J156" s="140">
        <v>15</v>
      </c>
      <c r="K156" s="143">
        <v>15</v>
      </c>
      <c r="L156" s="140"/>
      <c r="M156" s="143"/>
      <c r="N156" s="140"/>
      <c r="O156" s="140"/>
      <c r="P156" s="140"/>
      <c r="Q156" s="140"/>
      <c r="R156" s="140"/>
      <c r="S156" s="140"/>
      <c r="T156" s="140">
        <f t="shared" ref="T156:T157" si="10">I156+K156+M156+N156+O156+P156+Q156+R156+S156</f>
        <v>30</v>
      </c>
      <c r="U156" s="140">
        <v>3</v>
      </c>
    </row>
    <row r="157" spans="1:21" ht="25.5">
      <c r="A157" s="55" t="s">
        <v>36</v>
      </c>
      <c r="B157" s="55" t="s">
        <v>790</v>
      </c>
      <c r="C157" s="236" t="s">
        <v>478</v>
      </c>
      <c r="D157" s="55" t="s">
        <v>598</v>
      </c>
      <c r="E157" s="54" t="s">
        <v>787</v>
      </c>
      <c r="F157" s="54">
        <v>1</v>
      </c>
      <c r="G157" s="54">
        <v>1</v>
      </c>
      <c r="H157" s="56">
        <v>45</v>
      </c>
      <c r="I157" s="56">
        <v>45</v>
      </c>
      <c r="J157" s="56">
        <v>45</v>
      </c>
      <c r="K157" s="78">
        <v>45</v>
      </c>
      <c r="L157" s="56"/>
      <c r="M157" s="78"/>
      <c r="N157" s="56"/>
      <c r="O157" s="56"/>
      <c r="P157" s="56"/>
      <c r="Q157" s="56"/>
      <c r="R157" s="56"/>
      <c r="S157" s="56"/>
      <c r="T157" s="56">
        <f t="shared" si="10"/>
        <v>90</v>
      </c>
      <c r="U157" s="56">
        <v>8</v>
      </c>
    </row>
    <row r="158" spans="1:21" ht="38.25">
      <c r="A158" s="71" t="s">
        <v>36</v>
      </c>
      <c r="B158" s="71" t="s">
        <v>71</v>
      </c>
      <c r="C158" s="227" t="s">
        <v>478</v>
      </c>
      <c r="D158" s="71" t="s">
        <v>599</v>
      </c>
      <c r="E158" s="72">
        <v>55</v>
      </c>
      <c r="F158" s="72">
        <v>1</v>
      </c>
      <c r="G158" s="72">
        <v>2</v>
      </c>
      <c r="H158" s="140">
        <v>45</v>
      </c>
      <c r="I158" s="140">
        <v>45</v>
      </c>
      <c r="J158" s="140">
        <v>45</v>
      </c>
      <c r="K158" s="143">
        <v>90</v>
      </c>
      <c r="L158" s="140"/>
      <c r="M158" s="143"/>
      <c r="N158" s="140"/>
      <c r="O158" s="140"/>
      <c r="P158" s="140"/>
      <c r="Q158" s="140"/>
      <c r="R158" s="140"/>
      <c r="S158" s="140"/>
      <c r="T158" s="140">
        <f t="shared" ref="T158:T162" si="11">I158+K158+M158+N158+O158+P158+Q158+R158+S158</f>
        <v>135</v>
      </c>
      <c r="U158" s="140">
        <v>8</v>
      </c>
    </row>
    <row r="159" spans="1:21" ht="25.5">
      <c r="A159" s="71" t="s">
        <v>36</v>
      </c>
      <c r="B159" s="71" t="s">
        <v>547</v>
      </c>
      <c r="C159" s="227" t="s">
        <v>478</v>
      </c>
      <c r="D159" s="71" t="s">
        <v>548</v>
      </c>
      <c r="E159" s="72">
        <v>30</v>
      </c>
      <c r="F159" s="72">
        <v>1</v>
      </c>
      <c r="G159" s="72">
        <v>1</v>
      </c>
      <c r="H159" s="140">
        <v>30</v>
      </c>
      <c r="I159" s="140">
        <v>30</v>
      </c>
      <c r="J159" s="140">
        <v>15</v>
      </c>
      <c r="K159" s="143">
        <v>15</v>
      </c>
      <c r="L159" s="140"/>
      <c r="M159" s="143"/>
      <c r="N159" s="140"/>
      <c r="O159" s="140"/>
      <c r="P159" s="140"/>
      <c r="Q159" s="140"/>
      <c r="R159" s="140"/>
      <c r="S159" s="140"/>
      <c r="T159" s="140">
        <f t="shared" si="11"/>
        <v>45</v>
      </c>
      <c r="U159" s="140">
        <v>4</v>
      </c>
    </row>
    <row r="160" spans="1:21">
      <c r="A160" s="276" t="s">
        <v>36</v>
      </c>
      <c r="B160" s="217" t="s">
        <v>600</v>
      </c>
      <c r="C160" s="71" t="s">
        <v>601</v>
      </c>
      <c r="D160" s="60" t="s">
        <v>602</v>
      </c>
      <c r="E160" s="209">
        <v>20</v>
      </c>
      <c r="F160" s="134">
        <v>1</v>
      </c>
      <c r="G160" s="135">
        <v>1</v>
      </c>
      <c r="H160" s="136">
        <v>30</v>
      </c>
      <c r="I160" s="141">
        <v>30</v>
      </c>
      <c r="J160" s="136">
        <v>30</v>
      </c>
      <c r="K160" s="141">
        <v>30</v>
      </c>
      <c r="L160" s="136"/>
      <c r="M160" s="141"/>
      <c r="N160" s="136"/>
      <c r="O160" s="142"/>
      <c r="P160" s="142"/>
      <c r="Q160" s="142"/>
      <c r="R160" s="142"/>
      <c r="S160" s="225"/>
      <c r="T160" s="136">
        <f t="shared" si="11"/>
        <v>60</v>
      </c>
      <c r="U160" s="144">
        <v>6</v>
      </c>
    </row>
    <row r="161" spans="1:21">
      <c r="A161" s="276" t="s">
        <v>36</v>
      </c>
      <c r="B161" s="71" t="s">
        <v>522</v>
      </c>
      <c r="C161" s="71" t="s">
        <v>39</v>
      </c>
      <c r="D161" s="71" t="s">
        <v>524</v>
      </c>
      <c r="E161" s="72">
        <v>13</v>
      </c>
      <c r="F161" s="140"/>
      <c r="G161" s="140"/>
      <c r="H161" s="140"/>
      <c r="I161" s="143"/>
      <c r="J161" s="140"/>
      <c r="K161" s="143"/>
      <c r="L161" s="140"/>
      <c r="M161" s="143"/>
      <c r="N161" s="140"/>
      <c r="O161" s="140"/>
      <c r="P161" s="140"/>
      <c r="Q161" s="140"/>
      <c r="R161" s="140"/>
      <c r="S161" s="140">
        <v>30</v>
      </c>
      <c r="T161" s="140">
        <f t="shared" si="11"/>
        <v>30</v>
      </c>
      <c r="U161" s="140">
        <v>9</v>
      </c>
    </row>
    <row r="162" spans="1:21">
      <c r="A162" s="276" t="s">
        <v>36</v>
      </c>
      <c r="B162" s="71" t="s">
        <v>522</v>
      </c>
      <c r="C162" s="71" t="s">
        <v>40</v>
      </c>
      <c r="D162" s="71" t="s">
        <v>524</v>
      </c>
      <c r="E162" s="72">
        <v>13</v>
      </c>
      <c r="F162" s="140"/>
      <c r="G162" s="140"/>
      <c r="H162" s="140"/>
      <c r="I162" s="143"/>
      <c r="J162" s="140"/>
      <c r="K162" s="143"/>
      <c r="L162" s="140"/>
      <c r="M162" s="143"/>
      <c r="N162" s="140"/>
      <c r="O162" s="140"/>
      <c r="P162" s="140"/>
      <c r="Q162" s="140"/>
      <c r="R162" s="140"/>
      <c r="S162" s="140">
        <v>260</v>
      </c>
      <c r="T162" s="140">
        <f t="shared" si="11"/>
        <v>260</v>
      </c>
      <c r="U162" s="140">
        <v>21</v>
      </c>
    </row>
    <row r="165" spans="1:21">
      <c r="T165" s="1">
        <f>SUM(T12:T164)</f>
        <v>8670</v>
      </c>
    </row>
    <row r="166" spans="1:21" ht="15.75">
      <c r="A166" s="396" t="s">
        <v>41</v>
      </c>
      <c r="B166" s="397"/>
      <c r="C166" s="398"/>
      <c r="D166" s="49" t="s">
        <v>21</v>
      </c>
    </row>
    <row r="167" spans="1:21" ht="23.25" customHeight="1">
      <c r="A167" s="399" t="s">
        <v>42</v>
      </c>
      <c r="B167" s="400"/>
      <c r="C167" s="401"/>
      <c r="D167" s="80">
        <f>SUM(T12:T92)</f>
        <v>4280</v>
      </c>
    </row>
    <row r="168" spans="1:21" ht="23.25" customHeight="1">
      <c r="A168" s="402" t="s">
        <v>43</v>
      </c>
      <c r="B168" s="403"/>
      <c r="C168" s="404"/>
      <c r="D168" s="81">
        <f>SUM(T93:T162)</f>
        <v>4390</v>
      </c>
    </row>
    <row r="169" spans="1:21" ht="23.25" customHeight="1">
      <c r="A169" s="405" t="s">
        <v>44</v>
      </c>
      <c r="B169" s="406"/>
      <c r="C169" s="407"/>
      <c r="D169" s="82">
        <f>SUM(D167:D168)</f>
        <v>8670</v>
      </c>
    </row>
  </sheetData>
  <autoFilter ref="A10:U162" xr:uid="{00000000-0009-0000-0000-00000B000000}"/>
  <mergeCells count="17">
    <mergeCell ref="A166:C166"/>
    <mergeCell ref="A167:C167"/>
    <mergeCell ref="A168:C168"/>
    <mergeCell ref="A169:C169"/>
    <mergeCell ref="A9:A10"/>
    <mergeCell ref="B9:B10"/>
    <mergeCell ref="C9:C10"/>
    <mergeCell ref="D9:D10"/>
    <mergeCell ref="E9:E10"/>
    <mergeCell ref="F9:F10"/>
    <mergeCell ref="G9:G10"/>
    <mergeCell ref="N9:N10"/>
    <mergeCell ref="O9:O10"/>
    <mergeCell ref="P9:P10"/>
    <mergeCell ref="Q9:Q10"/>
    <mergeCell ref="T9:T10"/>
    <mergeCell ref="U9:U10"/>
  </mergeCells>
  <pageMargins left="0.196850393700787" right="0" top="0.15748031496063" bottom="0.15748031496063" header="0.31496062992126" footer="0.31496062992126"/>
  <pageSetup paperSize="9" orientation="landscape"/>
  <ignoredErrors>
    <ignoredError sqref="T11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M191"/>
  <sheetViews>
    <sheetView tabSelected="1" topLeftCell="A175" zoomScale="89" zoomScaleNormal="89" workbookViewId="0">
      <selection activeCell="D190" sqref="D190"/>
    </sheetView>
  </sheetViews>
  <sheetFormatPr defaultColWidth="9.140625" defaultRowHeight="12.75"/>
  <cols>
    <col min="1" max="1" width="7.7109375" style="1" customWidth="1"/>
    <col min="2" max="2" width="10.28515625" style="4" customWidth="1"/>
    <col min="3" max="3" width="30.140625" style="4" customWidth="1"/>
    <col min="4" max="4" width="10.7109375" style="4" customWidth="1"/>
    <col min="5" max="7" width="4.7109375" style="1" customWidth="1"/>
    <col min="8" max="8" width="1" style="1" customWidth="1"/>
    <col min="9" max="9" width="18.7109375" style="1" customWidth="1"/>
    <col min="10" max="10" width="18.5703125" style="1" customWidth="1"/>
    <col min="11" max="16384" width="9.140625" style="4"/>
  </cols>
  <sheetData>
    <row r="1" spans="1:10">
      <c r="B1" s="5" t="s">
        <v>0</v>
      </c>
      <c r="C1" s="6"/>
    </row>
    <row r="2" spans="1:10">
      <c r="B2" s="5" t="s">
        <v>1</v>
      </c>
      <c r="C2" s="7"/>
    </row>
    <row r="3" spans="1:10">
      <c r="B3" s="5" t="s">
        <v>2</v>
      </c>
      <c r="C3" s="6"/>
    </row>
    <row r="4" spans="1:10">
      <c r="A4" s="70" t="s">
        <v>3</v>
      </c>
      <c r="B4" s="9"/>
      <c r="C4" s="6"/>
      <c r="D4" s="9"/>
      <c r="E4" s="6"/>
      <c r="F4" s="6"/>
      <c r="G4" s="6"/>
      <c r="H4" s="6"/>
      <c r="I4" s="6"/>
      <c r="J4" s="6"/>
    </row>
    <row r="5" spans="1:10">
      <c r="A5" s="70" t="s">
        <v>4</v>
      </c>
      <c r="B5" s="9"/>
      <c r="C5" s="6"/>
      <c r="D5" s="9"/>
      <c r="E5" s="6"/>
      <c r="F5" s="6"/>
      <c r="G5" s="6"/>
      <c r="H5" s="6"/>
      <c r="I5" s="6"/>
      <c r="J5" s="6"/>
    </row>
    <row r="6" spans="1:10" s="83" customFormat="1" ht="15.75">
      <c r="A6" s="103" t="s">
        <v>603</v>
      </c>
      <c r="B6" s="86"/>
      <c r="C6" s="86"/>
      <c r="D6" s="86"/>
      <c r="E6" s="85"/>
      <c r="F6" s="85"/>
      <c r="G6" s="85"/>
      <c r="H6" s="85"/>
      <c r="I6" s="85"/>
      <c r="J6" s="85"/>
    </row>
    <row r="7" spans="1:10" s="83" customFormat="1" ht="15.75">
      <c r="A7" s="103" t="s">
        <v>5</v>
      </c>
      <c r="B7" s="86"/>
      <c r="C7" s="86"/>
      <c r="D7" s="86"/>
      <c r="E7" s="85"/>
      <c r="F7" s="85"/>
      <c r="G7" s="85"/>
      <c r="H7" s="85"/>
      <c r="I7" s="85"/>
      <c r="J7" s="85"/>
    </row>
    <row r="9" spans="1:10" s="1" customFormat="1" ht="87.75" customHeight="1" thickBot="1">
      <c r="A9" s="313"/>
      <c r="B9" s="314"/>
      <c r="C9" s="315"/>
      <c r="D9" s="316"/>
      <c r="E9" s="317"/>
      <c r="F9" s="318" t="s">
        <v>24</v>
      </c>
      <c r="G9" s="318" t="s">
        <v>24</v>
      </c>
      <c r="H9" s="318" t="s">
        <v>24</v>
      </c>
      <c r="I9" s="313"/>
      <c r="J9" s="319"/>
    </row>
    <row r="10" spans="1:10" s="2" customFormat="1" ht="13.5" thickBot="1">
      <c r="A10" s="320">
        <v>1</v>
      </c>
      <c r="B10" s="321">
        <v>2</v>
      </c>
      <c r="C10" s="321">
        <v>3</v>
      </c>
      <c r="D10" s="322">
        <v>4</v>
      </c>
      <c r="E10" s="323">
        <v>5</v>
      </c>
      <c r="F10" s="324">
        <v>9</v>
      </c>
      <c r="G10" s="324">
        <v>11</v>
      </c>
      <c r="H10" s="324">
        <v>13</v>
      </c>
      <c r="I10" s="320">
        <v>14</v>
      </c>
      <c r="J10" s="325">
        <v>20</v>
      </c>
    </row>
    <row r="11" spans="1:10" s="2" customFormat="1" ht="63.75" hidden="1">
      <c r="A11" s="312" t="s">
        <v>27</v>
      </c>
      <c r="B11" s="326" t="s">
        <v>604</v>
      </c>
      <c r="C11" s="327" t="s">
        <v>605</v>
      </c>
      <c r="D11" s="328" t="s">
        <v>606</v>
      </c>
      <c r="E11" s="329" t="s">
        <v>887</v>
      </c>
      <c r="F11" s="330">
        <v>15</v>
      </c>
      <c r="G11" s="330">
        <v>30</v>
      </c>
      <c r="H11" s="330"/>
      <c r="I11" s="312" t="s">
        <v>876</v>
      </c>
      <c r="J11" s="331">
        <f>F11+G11+H11</f>
        <v>45</v>
      </c>
    </row>
    <row r="12" spans="1:10" s="2" customFormat="1" ht="63.75" hidden="1">
      <c r="A12" s="312" t="s">
        <v>27</v>
      </c>
      <c r="B12" s="332" t="s">
        <v>607</v>
      </c>
      <c r="C12" s="327" t="s">
        <v>605</v>
      </c>
      <c r="D12" s="328" t="s">
        <v>608</v>
      </c>
      <c r="E12" s="329" t="s">
        <v>888</v>
      </c>
      <c r="F12" s="330">
        <v>15</v>
      </c>
      <c r="G12" s="330">
        <v>45</v>
      </c>
      <c r="H12" s="330"/>
      <c r="I12" s="312" t="s">
        <v>876</v>
      </c>
      <c r="J12" s="331">
        <f>F12+G12+H12</f>
        <v>60</v>
      </c>
    </row>
    <row r="13" spans="1:10" s="2" customFormat="1" hidden="1">
      <c r="A13" s="312" t="s">
        <v>27</v>
      </c>
      <c r="B13" s="333" t="s">
        <v>455</v>
      </c>
      <c r="C13" s="334" t="s">
        <v>609</v>
      </c>
      <c r="D13" s="335" t="s">
        <v>457</v>
      </c>
      <c r="E13" s="336">
        <v>40</v>
      </c>
      <c r="F13" s="330">
        <v>30</v>
      </c>
      <c r="G13" s="330">
        <v>60</v>
      </c>
      <c r="H13" s="330"/>
      <c r="I13" s="337" t="s">
        <v>817</v>
      </c>
      <c r="J13" s="337">
        <v>90</v>
      </c>
    </row>
    <row r="14" spans="1:10" s="2" customFormat="1" hidden="1">
      <c r="A14" s="312" t="s">
        <v>27</v>
      </c>
      <c r="B14" s="333" t="s">
        <v>458</v>
      </c>
      <c r="C14" s="334" t="s">
        <v>609</v>
      </c>
      <c r="D14" s="335" t="s">
        <v>457</v>
      </c>
      <c r="E14" s="336">
        <v>24</v>
      </c>
      <c r="F14" s="330">
        <v>30</v>
      </c>
      <c r="G14" s="330">
        <v>30</v>
      </c>
      <c r="H14" s="330"/>
      <c r="I14" s="337" t="s">
        <v>817</v>
      </c>
      <c r="J14" s="337">
        <v>60</v>
      </c>
    </row>
    <row r="15" spans="1:10" s="2" customFormat="1" ht="26.25" hidden="1" customHeight="1">
      <c r="A15" s="312" t="s">
        <v>27</v>
      </c>
      <c r="B15" s="334" t="s">
        <v>463</v>
      </c>
      <c r="C15" s="338" t="s">
        <v>610</v>
      </c>
      <c r="D15" s="335" t="s">
        <v>64</v>
      </c>
      <c r="E15" s="336">
        <v>40</v>
      </c>
      <c r="F15" s="330">
        <v>30</v>
      </c>
      <c r="G15" s="330">
        <v>30</v>
      </c>
      <c r="H15" s="330"/>
      <c r="I15" s="337" t="s">
        <v>818</v>
      </c>
      <c r="J15" s="337">
        <v>60</v>
      </c>
    </row>
    <row r="16" spans="1:10" hidden="1">
      <c r="A16" s="312" t="s">
        <v>27</v>
      </c>
      <c r="B16" s="334" t="s">
        <v>465</v>
      </c>
      <c r="C16" s="334" t="s">
        <v>610</v>
      </c>
      <c r="D16" s="335" t="s">
        <v>64</v>
      </c>
      <c r="E16" s="339">
        <v>25</v>
      </c>
      <c r="F16" s="330">
        <v>30</v>
      </c>
      <c r="G16" s="330">
        <v>30</v>
      </c>
      <c r="H16" s="330"/>
      <c r="I16" s="337" t="s">
        <v>819</v>
      </c>
      <c r="J16" s="337">
        <v>60</v>
      </c>
    </row>
    <row r="17" spans="1:10" ht="38.25" hidden="1">
      <c r="A17" s="312" t="s">
        <v>27</v>
      </c>
      <c r="B17" s="334" t="s">
        <v>611</v>
      </c>
      <c r="C17" s="334" t="s">
        <v>612</v>
      </c>
      <c r="D17" s="340" t="s">
        <v>613</v>
      </c>
      <c r="E17" s="336" t="s">
        <v>893</v>
      </c>
      <c r="F17" s="330">
        <v>30</v>
      </c>
      <c r="G17" s="330">
        <v>60</v>
      </c>
      <c r="H17" s="330"/>
      <c r="I17" s="337" t="s">
        <v>820</v>
      </c>
      <c r="J17" s="337">
        <v>90</v>
      </c>
    </row>
    <row r="18" spans="1:10" ht="38.25" hidden="1">
      <c r="A18" s="312" t="s">
        <v>27</v>
      </c>
      <c r="B18" s="334" t="s">
        <v>614</v>
      </c>
      <c r="C18" s="334" t="s">
        <v>612</v>
      </c>
      <c r="D18" s="340" t="s">
        <v>613</v>
      </c>
      <c r="E18" s="336" t="s">
        <v>892</v>
      </c>
      <c r="F18" s="330">
        <v>30</v>
      </c>
      <c r="G18" s="330">
        <v>30</v>
      </c>
      <c r="H18" s="330"/>
      <c r="I18" s="337" t="s">
        <v>825</v>
      </c>
      <c r="J18" s="337">
        <v>60</v>
      </c>
    </row>
    <row r="19" spans="1:10" ht="37.5" hidden="1" customHeight="1">
      <c r="A19" s="312" t="s">
        <v>27</v>
      </c>
      <c r="B19" s="341" t="s">
        <v>889</v>
      </c>
      <c r="C19" s="334" t="s">
        <v>612</v>
      </c>
      <c r="D19" s="342" t="s">
        <v>890</v>
      </c>
      <c r="E19" s="336" t="s">
        <v>881</v>
      </c>
      <c r="F19" s="337">
        <v>45</v>
      </c>
      <c r="G19" s="337">
        <v>60</v>
      </c>
      <c r="H19" s="330"/>
      <c r="I19" s="337" t="s">
        <v>821</v>
      </c>
      <c r="J19" s="331">
        <f>F19+G19+H19</f>
        <v>105</v>
      </c>
    </row>
    <row r="20" spans="1:10" ht="30.75" hidden="1" customHeight="1">
      <c r="A20" s="312" t="s">
        <v>27</v>
      </c>
      <c r="B20" s="341" t="s">
        <v>884</v>
      </c>
      <c r="C20" s="334" t="s">
        <v>612</v>
      </c>
      <c r="D20" s="342" t="s">
        <v>885</v>
      </c>
      <c r="E20" s="336" t="s">
        <v>886</v>
      </c>
      <c r="F20" s="337">
        <v>45</v>
      </c>
      <c r="G20" s="337">
        <v>60</v>
      </c>
      <c r="H20" s="330"/>
      <c r="I20" s="337" t="s">
        <v>903</v>
      </c>
      <c r="J20" s="331">
        <f>F20+G20+H20</f>
        <v>105</v>
      </c>
    </row>
    <row r="21" spans="1:10" hidden="1">
      <c r="A21" s="312" t="s">
        <v>27</v>
      </c>
      <c r="B21" s="343" t="s">
        <v>477</v>
      </c>
      <c r="C21" s="334" t="s">
        <v>617</v>
      </c>
      <c r="D21" s="335" t="s">
        <v>457</v>
      </c>
      <c r="E21" s="336">
        <v>29</v>
      </c>
      <c r="F21" s="337">
        <v>30</v>
      </c>
      <c r="G21" s="337">
        <v>15</v>
      </c>
      <c r="H21" s="330"/>
      <c r="I21" s="337" t="s">
        <v>822</v>
      </c>
      <c r="J21" s="331">
        <f t="shared" ref="J21:J26" si="0">F21+G21+H21</f>
        <v>45</v>
      </c>
    </row>
    <row r="22" spans="1:10" hidden="1">
      <c r="A22" s="312" t="s">
        <v>27</v>
      </c>
      <c r="B22" s="334" t="s">
        <v>479</v>
      </c>
      <c r="C22" s="334" t="s">
        <v>617</v>
      </c>
      <c r="D22" s="335" t="s">
        <v>457</v>
      </c>
      <c r="E22" s="336">
        <v>31</v>
      </c>
      <c r="F22" s="337">
        <v>30</v>
      </c>
      <c r="G22" s="337">
        <v>15</v>
      </c>
      <c r="H22" s="330"/>
      <c r="I22" s="337" t="s">
        <v>879</v>
      </c>
      <c r="J22" s="331">
        <f>F22+G22+H22</f>
        <v>45</v>
      </c>
    </row>
    <row r="23" spans="1:10" hidden="1">
      <c r="A23" s="312" t="s">
        <v>27</v>
      </c>
      <c r="B23" s="343" t="s">
        <v>477</v>
      </c>
      <c r="C23" s="334" t="s">
        <v>618</v>
      </c>
      <c r="D23" s="335" t="s">
        <v>457</v>
      </c>
      <c r="E23" s="336">
        <v>29</v>
      </c>
      <c r="F23" s="337">
        <v>30</v>
      </c>
      <c r="G23" s="337">
        <v>15</v>
      </c>
      <c r="H23" s="330"/>
      <c r="I23" s="337" t="s">
        <v>821</v>
      </c>
      <c r="J23" s="331">
        <f t="shared" si="0"/>
        <v>45</v>
      </c>
    </row>
    <row r="24" spans="1:10" ht="15.75" hidden="1" customHeight="1">
      <c r="A24" s="312" t="s">
        <v>27</v>
      </c>
      <c r="B24" s="334" t="s">
        <v>479</v>
      </c>
      <c r="C24" s="334" t="s">
        <v>618</v>
      </c>
      <c r="D24" s="335" t="s">
        <v>457</v>
      </c>
      <c r="E24" s="336">
        <v>31</v>
      </c>
      <c r="F24" s="337">
        <v>30</v>
      </c>
      <c r="G24" s="337">
        <v>15</v>
      </c>
      <c r="H24" s="330"/>
      <c r="I24" s="337" t="s">
        <v>879</v>
      </c>
      <c r="J24" s="331">
        <f t="shared" si="0"/>
        <v>45</v>
      </c>
    </row>
    <row r="25" spans="1:10" ht="51" hidden="1">
      <c r="A25" s="344" t="s">
        <v>27</v>
      </c>
      <c r="B25" s="334" t="s">
        <v>619</v>
      </c>
      <c r="C25" s="334" t="s">
        <v>831</v>
      </c>
      <c r="D25" s="335" t="s">
        <v>79</v>
      </c>
      <c r="E25" s="336">
        <v>40</v>
      </c>
      <c r="F25" s="337">
        <v>30</v>
      </c>
      <c r="G25" s="337">
        <v>15</v>
      </c>
      <c r="H25" s="345"/>
      <c r="I25" s="337" t="s">
        <v>824</v>
      </c>
      <c r="J25" s="331">
        <f t="shared" si="0"/>
        <v>45</v>
      </c>
    </row>
    <row r="26" spans="1:10" ht="51" hidden="1">
      <c r="A26" s="344" t="s">
        <v>27</v>
      </c>
      <c r="B26" s="334" t="s">
        <v>620</v>
      </c>
      <c r="C26" s="334" t="s">
        <v>831</v>
      </c>
      <c r="D26" s="335" t="s">
        <v>79</v>
      </c>
      <c r="E26" s="336">
        <v>29</v>
      </c>
      <c r="F26" s="337">
        <v>30</v>
      </c>
      <c r="G26" s="337">
        <v>15</v>
      </c>
      <c r="H26" s="330"/>
      <c r="I26" s="337" t="s">
        <v>824</v>
      </c>
      <c r="J26" s="331">
        <f t="shared" si="0"/>
        <v>45</v>
      </c>
    </row>
    <row r="27" spans="1:10" ht="25.5" hidden="1">
      <c r="A27" s="344" t="s">
        <v>27</v>
      </c>
      <c r="B27" s="334" t="s">
        <v>481</v>
      </c>
      <c r="C27" s="328" t="s">
        <v>621</v>
      </c>
      <c r="D27" s="340" t="s">
        <v>100</v>
      </c>
      <c r="E27" s="336">
        <v>29</v>
      </c>
      <c r="F27" s="337">
        <v>30</v>
      </c>
      <c r="G27" s="337">
        <v>30</v>
      </c>
      <c r="H27" s="330"/>
      <c r="I27" s="337" t="s">
        <v>878</v>
      </c>
      <c r="J27" s="337">
        <v>60</v>
      </c>
    </row>
    <row r="28" spans="1:10" ht="25.5" hidden="1">
      <c r="A28" s="344" t="s">
        <v>27</v>
      </c>
      <c r="B28" s="334" t="s">
        <v>483</v>
      </c>
      <c r="C28" s="328" t="s">
        <v>621</v>
      </c>
      <c r="D28" s="340" t="s">
        <v>100</v>
      </c>
      <c r="E28" s="336">
        <v>21</v>
      </c>
      <c r="F28" s="337">
        <v>30</v>
      </c>
      <c r="G28" s="337">
        <v>30</v>
      </c>
      <c r="H28" s="330"/>
      <c r="I28" s="337" t="s">
        <v>883</v>
      </c>
      <c r="J28" s="337">
        <v>60</v>
      </c>
    </row>
    <row r="29" spans="1:10" ht="63.75" hidden="1">
      <c r="A29" s="344" t="s">
        <v>27</v>
      </c>
      <c r="B29" s="334" t="s">
        <v>481</v>
      </c>
      <c r="C29" s="328" t="s">
        <v>832</v>
      </c>
      <c r="D29" s="340" t="s">
        <v>100</v>
      </c>
      <c r="E29" s="336">
        <v>29</v>
      </c>
      <c r="F29" s="337">
        <v>30</v>
      </c>
      <c r="G29" s="337">
        <v>30</v>
      </c>
      <c r="H29" s="345"/>
      <c r="I29" s="377" t="s">
        <v>829</v>
      </c>
      <c r="J29" s="337">
        <v>60</v>
      </c>
    </row>
    <row r="30" spans="1:10" ht="63.75" hidden="1">
      <c r="A30" s="344" t="s">
        <v>27</v>
      </c>
      <c r="B30" s="334" t="s">
        <v>483</v>
      </c>
      <c r="C30" s="334" t="s">
        <v>832</v>
      </c>
      <c r="D30" s="340" t="s">
        <v>100</v>
      </c>
      <c r="E30" s="336">
        <v>21</v>
      </c>
      <c r="F30" s="337">
        <v>30</v>
      </c>
      <c r="G30" s="337">
        <v>30</v>
      </c>
      <c r="H30" s="345"/>
      <c r="I30" s="337" t="s">
        <v>902</v>
      </c>
      <c r="J30" s="337">
        <v>60</v>
      </c>
    </row>
    <row r="31" spans="1:10" ht="38.25" hidden="1">
      <c r="A31" s="344" t="s">
        <v>27</v>
      </c>
      <c r="B31" s="334" t="s">
        <v>483</v>
      </c>
      <c r="C31" s="328" t="s">
        <v>833</v>
      </c>
      <c r="D31" s="340" t="s">
        <v>100</v>
      </c>
      <c r="E31" s="336">
        <v>21</v>
      </c>
      <c r="F31" s="337">
        <v>30</v>
      </c>
      <c r="G31" s="337">
        <v>15</v>
      </c>
      <c r="H31" s="330"/>
      <c r="I31" s="337" t="s">
        <v>902</v>
      </c>
      <c r="J31" s="331">
        <f t="shared" ref="J31:J37" si="1">F31+G31+H31</f>
        <v>45</v>
      </c>
    </row>
    <row r="32" spans="1:10" ht="38.25" hidden="1">
      <c r="A32" s="344" t="s">
        <v>27</v>
      </c>
      <c r="B32" s="334" t="s">
        <v>481</v>
      </c>
      <c r="C32" s="328" t="s">
        <v>833</v>
      </c>
      <c r="D32" s="340" t="s">
        <v>100</v>
      </c>
      <c r="E32" s="336">
        <v>29</v>
      </c>
      <c r="F32" s="337">
        <v>30</v>
      </c>
      <c r="G32" s="337">
        <v>15</v>
      </c>
      <c r="H32" s="330"/>
      <c r="I32" s="337" t="s">
        <v>818</v>
      </c>
      <c r="J32" s="331">
        <f t="shared" si="1"/>
        <v>45</v>
      </c>
    </row>
    <row r="33" spans="1:10" ht="63.75" hidden="1">
      <c r="A33" s="344" t="s">
        <v>27</v>
      </c>
      <c r="B33" s="334" t="s">
        <v>393</v>
      </c>
      <c r="C33" s="334" t="s">
        <v>834</v>
      </c>
      <c r="D33" s="335" t="s">
        <v>80</v>
      </c>
      <c r="E33" s="336">
        <v>17</v>
      </c>
      <c r="F33" s="337">
        <v>30</v>
      </c>
      <c r="G33" s="337">
        <v>15</v>
      </c>
      <c r="H33" s="330"/>
      <c r="I33" s="337" t="s">
        <v>818</v>
      </c>
      <c r="J33" s="331">
        <f t="shared" si="1"/>
        <v>45</v>
      </c>
    </row>
    <row r="34" spans="1:10" ht="25.5" hidden="1">
      <c r="A34" s="344" t="s">
        <v>27</v>
      </c>
      <c r="B34" s="334" t="s">
        <v>622</v>
      </c>
      <c r="C34" s="334" t="s">
        <v>623</v>
      </c>
      <c r="D34" s="342" t="s">
        <v>449</v>
      </c>
      <c r="E34" s="336" t="s">
        <v>624</v>
      </c>
      <c r="F34" s="330">
        <v>45</v>
      </c>
      <c r="G34" s="330">
        <v>90</v>
      </c>
      <c r="H34" s="330"/>
      <c r="I34" s="337" t="s">
        <v>825</v>
      </c>
      <c r="J34" s="331">
        <f t="shared" si="1"/>
        <v>135</v>
      </c>
    </row>
    <row r="35" spans="1:10" ht="25.5" hidden="1">
      <c r="A35" s="344" t="s">
        <v>27</v>
      </c>
      <c r="B35" s="334" t="s">
        <v>625</v>
      </c>
      <c r="C35" s="334" t="s">
        <v>623</v>
      </c>
      <c r="D35" s="342" t="s">
        <v>449</v>
      </c>
      <c r="E35" s="336" t="s">
        <v>626</v>
      </c>
      <c r="F35" s="330">
        <v>45</v>
      </c>
      <c r="G35" s="330">
        <v>90</v>
      </c>
      <c r="H35" s="330"/>
      <c r="I35" s="337" t="s">
        <v>879</v>
      </c>
      <c r="J35" s="331">
        <f t="shared" si="1"/>
        <v>135</v>
      </c>
    </row>
    <row r="36" spans="1:10" ht="38.25" hidden="1">
      <c r="A36" s="344" t="s">
        <v>27</v>
      </c>
      <c r="B36" s="334" t="s">
        <v>579</v>
      </c>
      <c r="C36" s="346" t="s">
        <v>835</v>
      </c>
      <c r="D36" s="342" t="s">
        <v>78</v>
      </c>
      <c r="E36" s="336">
        <v>27</v>
      </c>
      <c r="F36" s="330">
        <v>15</v>
      </c>
      <c r="G36" s="330">
        <v>15</v>
      </c>
      <c r="H36" s="330"/>
      <c r="I36" s="337" t="s">
        <v>823</v>
      </c>
      <c r="J36" s="331">
        <f t="shared" si="1"/>
        <v>30</v>
      </c>
    </row>
    <row r="37" spans="1:10" ht="38.25" hidden="1">
      <c r="A37" s="344" t="s">
        <v>27</v>
      </c>
      <c r="B37" s="334" t="s">
        <v>496</v>
      </c>
      <c r="C37" s="346" t="s">
        <v>835</v>
      </c>
      <c r="D37" s="342" t="s">
        <v>78</v>
      </c>
      <c r="E37" s="336">
        <v>25</v>
      </c>
      <c r="F37" s="330">
        <v>15</v>
      </c>
      <c r="G37" s="330">
        <v>15</v>
      </c>
      <c r="H37" s="330"/>
      <c r="I37" s="337" t="s">
        <v>823</v>
      </c>
      <c r="J37" s="331">
        <f t="shared" si="1"/>
        <v>30</v>
      </c>
    </row>
    <row r="38" spans="1:10" hidden="1">
      <c r="A38" s="344" t="s">
        <v>27</v>
      </c>
      <c r="B38" s="334" t="s">
        <v>498</v>
      </c>
      <c r="C38" s="334" t="s">
        <v>627</v>
      </c>
      <c r="D38" s="335" t="s">
        <v>457</v>
      </c>
      <c r="E38" s="336">
        <v>30</v>
      </c>
      <c r="F38" s="330">
        <v>30</v>
      </c>
      <c r="G38" s="330">
        <v>30</v>
      </c>
      <c r="H38" s="330"/>
      <c r="I38" s="337" t="s">
        <v>821</v>
      </c>
      <c r="J38" s="337">
        <v>60</v>
      </c>
    </row>
    <row r="39" spans="1:10" hidden="1">
      <c r="A39" s="344" t="s">
        <v>27</v>
      </c>
      <c r="B39" s="334" t="s">
        <v>498</v>
      </c>
      <c r="C39" s="334" t="s">
        <v>623</v>
      </c>
      <c r="D39" s="335" t="s">
        <v>457</v>
      </c>
      <c r="E39" s="336">
        <v>30</v>
      </c>
      <c r="F39" s="330">
        <v>30</v>
      </c>
      <c r="G39" s="330">
        <v>30</v>
      </c>
      <c r="H39" s="330"/>
      <c r="I39" s="337" t="s">
        <v>826</v>
      </c>
      <c r="J39" s="337">
        <v>60</v>
      </c>
    </row>
    <row r="40" spans="1:10" hidden="1">
      <c r="A40" s="344" t="s">
        <v>27</v>
      </c>
      <c r="B40" s="347" t="s">
        <v>580</v>
      </c>
      <c r="C40" s="334" t="s">
        <v>628</v>
      </c>
      <c r="D40" s="335" t="s">
        <v>79</v>
      </c>
      <c r="E40" s="336">
        <v>21</v>
      </c>
      <c r="F40" s="330">
        <v>30</v>
      </c>
      <c r="G40" s="330">
        <v>30</v>
      </c>
      <c r="H40" s="330"/>
      <c r="I40" s="337" t="s">
        <v>877</v>
      </c>
      <c r="J40" s="337">
        <v>60</v>
      </c>
    </row>
    <row r="41" spans="1:10" hidden="1">
      <c r="A41" s="344" t="s">
        <v>27</v>
      </c>
      <c r="B41" s="347" t="s">
        <v>582</v>
      </c>
      <c r="C41" s="334" t="s">
        <v>628</v>
      </c>
      <c r="D41" s="335" t="s">
        <v>79</v>
      </c>
      <c r="E41" s="336">
        <v>18</v>
      </c>
      <c r="F41" s="330">
        <v>30</v>
      </c>
      <c r="G41" s="330">
        <v>30</v>
      </c>
      <c r="H41" s="330"/>
      <c r="I41" s="337" t="s">
        <v>819</v>
      </c>
      <c r="J41" s="337">
        <v>60</v>
      </c>
    </row>
    <row r="42" spans="1:10" ht="38.25" hidden="1">
      <c r="A42" s="344" t="s">
        <v>27</v>
      </c>
      <c r="B42" s="347" t="s">
        <v>63</v>
      </c>
      <c r="C42" s="334" t="s">
        <v>629</v>
      </c>
      <c r="D42" s="335" t="s">
        <v>64</v>
      </c>
      <c r="E42" s="336">
        <v>19</v>
      </c>
      <c r="F42" s="330">
        <v>30</v>
      </c>
      <c r="G42" s="330">
        <v>30</v>
      </c>
      <c r="H42" s="330"/>
      <c r="I42" s="337" t="s">
        <v>824</v>
      </c>
      <c r="J42" s="337">
        <v>60</v>
      </c>
    </row>
    <row r="43" spans="1:10" ht="38.25" hidden="1">
      <c r="A43" s="344" t="s">
        <v>27</v>
      </c>
      <c r="B43" s="347" t="s">
        <v>65</v>
      </c>
      <c r="C43" s="334" t="s">
        <v>629</v>
      </c>
      <c r="D43" s="335" t="s">
        <v>64</v>
      </c>
      <c r="E43" s="336">
        <v>17</v>
      </c>
      <c r="F43" s="330">
        <v>30</v>
      </c>
      <c r="G43" s="330">
        <v>30</v>
      </c>
      <c r="H43" s="330"/>
      <c r="I43" s="337" t="s">
        <v>825</v>
      </c>
      <c r="J43" s="337">
        <v>60</v>
      </c>
    </row>
    <row r="44" spans="1:10" ht="25.5" hidden="1">
      <c r="A44" s="344" t="s">
        <v>27</v>
      </c>
      <c r="B44" s="347" t="s">
        <v>63</v>
      </c>
      <c r="C44" s="328" t="s">
        <v>630</v>
      </c>
      <c r="D44" s="335" t="s">
        <v>64</v>
      </c>
      <c r="E44" s="336">
        <v>19</v>
      </c>
      <c r="F44" s="330">
        <v>30</v>
      </c>
      <c r="G44" s="330">
        <v>30</v>
      </c>
      <c r="H44" s="330"/>
      <c r="I44" s="337" t="s">
        <v>828</v>
      </c>
      <c r="J44" s="337">
        <v>60</v>
      </c>
    </row>
    <row r="45" spans="1:10" ht="25.5" hidden="1">
      <c r="A45" s="344" t="s">
        <v>27</v>
      </c>
      <c r="B45" s="347" t="s">
        <v>65</v>
      </c>
      <c r="C45" s="334" t="s">
        <v>630</v>
      </c>
      <c r="D45" s="335" t="s">
        <v>64</v>
      </c>
      <c r="E45" s="336">
        <v>17</v>
      </c>
      <c r="F45" s="330">
        <v>30</v>
      </c>
      <c r="G45" s="330">
        <v>30</v>
      </c>
      <c r="H45" s="330"/>
      <c r="I45" s="337" t="s">
        <v>819</v>
      </c>
      <c r="J45" s="337">
        <v>60</v>
      </c>
    </row>
    <row r="46" spans="1:10" hidden="1">
      <c r="A46" s="344" t="s">
        <v>27</v>
      </c>
      <c r="B46" s="347" t="s">
        <v>63</v>
      </c>
      <c r="C46" s="328" t="s">
        <v>631</v>
      </c>
      <c r="D46" s="335" t="s">
        <v>64</v>
      </c>
      <c r="E46" s="336">
        <v>19</v>
      </c>
      <c r="F46" s="330">
        <v>30</v>
      </c>
      <c r="G46" s="330">
        <v>30</v>
      </c>
      <c r="H46" s="330"/>
      <c r="I46" s="337" t="s">
        <v>824</v>
      </c>
      <c r="J46" s="337">
        <v>60</v>
      </c>
    </row>
    <row r="47" spans="1:10" hidden="1">
      <c r="A47" s="344" t="s">
        <v>27</v>
      </c>
      <c r="B47" s="347" t="s">
        <v>65</v>
      </c>
      <c r="C47" s="328" t="s">
        <v>631</v>
      </c>
      <c r="D47" s="335" t="s">
        <v>64</v>
      </c>
      <c r="E47" s="336">
        <v>17</v>
      </c>
      <c r="F47" s="330">
        <v>30</v>
      </c>
      <c r="G47" s="330">
        <v>30</v>
      </c>
      <c r="H47" s="330"/>
      <c r="I47" s="337" t="s">
        <v>819</v>
      </c>
      <c r="J47" s="337">
        <v>60</v>
      </c>
    </row>
    <row r="48" spans="1:10" ht="76.5" hidden="1">
      <c r="A48" s="344" t="s">
        <v>27</v>
      </c>
      <c r="B48" s="343" t="s">
        <v>512</v>
      </c>
      <c r="C48" s="348" t="s">
        <v>836</v>
      </c>
      <c r="D48" s="342" t="s">
        <v>78</v>
      </c>
      <c r="E48" s="336">
        <v>21</v>
      </c>
      <c r="F48" s="337">
        <v>30</v>
      </c>
      <c r="G48" s="337">
        <v>15</v>
      </c>
      <c r="H48" s="330"/>
      <c r="I48" s="337" t="s">
        <v>826</v>
      </c>
      <c r="J48" s="337">
        <v>45</v>
      </c>
    </row>
    <row r="49" spans="1:10" ht="76.5" hidden="1">
      <c r="A49" s="344" t="s">
        <v>27</v>
      </c>
      <c r="B49" s="343" t="s">
        <v>514</v>
      </c>
      <c r="C49" s="348" t="s">
        <v>836</v>
      </c>
      <c r="D49" s="342" t="s">
        <v>78</v>
      </c>
      <c r="E49" s="336">
        <v>8</v>
      </c>
      <c r="F49" s="337">
        <v>30</v>
      </c>
      <c r="G49" s="337">
        <v>15</v>
      </c>
      <c r="H49" s="330"/>
      <c r="I49" s="337" t="s">
        <v>880</v>
      </c>
      <c r="J49" s="337">
        <v>45</v>
      </c>
    </row>
    <row r="50" spans="1:10" ht="51" hidden="1">
      <c r="A50" s="344" t="s">
        <v>27</v>
      </c>
      <c r="B50" s="343" t="s">
        <v>512</v>
      </c>
      <c r="C50" s="349" t="s">
        <v>837</v>
      </c>
      <c r="D50" s="342" t="s">
        <v>78</v>
      </c>
      <c r="E50" s="336">
        <v>21</v>
      </c>
      <c r="F50" s="337">
        <v>30</v>
      </c>
      <c r="G50" s="337">
        <v>30</v>
      </c>
      <c r="H50" s="330"/>
      <c r="I50" s="337" t="s">
        <v>879</v>
      </c>
      <c r="J50" s="331">
        <f>F50+G50+H50</f>
        <v>60</v>
      </c>
    </row>
    <row r="51" spans="1:10" ht="51" hidden="1">
      <c r="A51" s="344" t="s">
        <v>27</v>
      </c>
      <c r="B51" s="343" t="s">
        <v>514</v>
      </c>
      <c r="C51" s="349" t="s">
        <v>837</v>
      </c>
      <c r="D51" s="342" t="s">
        <v>78</v>
      </c>
      <c r="E51" s="336">
        <v>8</v>
      </c>
      <c r="F51" s="337">
        <v>30</v>
      </c>
      <c r="G51" s="337">
        <v>30</v>
      </c>
      <c r="H51" s="330"/>
      <c r="I51" s="337" t="s">
        <v>902</v>
      </c>
      <c r="J51" s="331">
        <f>F51+G51+H51</f>
        <v>60</v>
      </c>
    </row>
    <row r="52" spans="1:10" ht="39" hidden="1" customHeight="1">
      <c r="A52" s="344" t="s">
        <v>27</v>
      </c>
      <c r="B52" s="347" t="s">
        <v>517</v>
      </c>
      <c r="C52" s="328" t="s">
        <v>632</v>
      </c>
      <c r="D52" s="335" t="s">
        <v>457</v>
      </c>
      <c r="E52" s="336">
        <v>13</v>
      </c>
      <c r="F52" s="337">
        <v>30</v>
      </c>
      <c r="G52" s="337">
        <v>15</v>
      </c>
      <c r="H52" s="330"/>
      <c r="I52" s="337" t="s">
        <v>822</v>
      </c>
      <c r="J52" s="337">
        <v>45</v>
      </c>
    </row>
    <row r="53" spans="1:10" ht="25.5" hidden="1">
      <c r="A53" s="344" t="s">
        <v>27</v>
      </c>
      <c r="B53" s="347" t="s">
        <v>515</v>
      </c>
      <c r="C53" s="328" t="s">
        <v>632</v>
      </c>
      <c r="D53" s="335" t="s">
        <v>457</v>
      </c>
      <c r="E53" s="336">
        <v>8</v>
      </c>
      <c r="F53" s="337">
        <v>30</v>
      </c>
      <c r="G53" s="337">
        <v>15</v>
      </c>
      <c r="H53" s="330"/>
      <c r="I53" s="337" t="s">
        <v>902</v>
      </c>
      <c r="J53" s="337">
        <v>45</v>
      </c>
    </row>
    <row r="54" spans="1:10" hidden="1">
      <c r="A54" s="344" t="s">
        <v>27</v>
      </c>
      <c r="B54" s="347" t="s">
        <v>589</v>
      </c>
      <c r="C54" s="328" t="s">
        <v>633</v>
      </c>
      <c r="D54" s="335" t="s">
        <v>79</v>
      </c>
      <c r="E54" s="336">
        <v>17</v>
      </c>
      <c r="F54" s="330">
        <v>45</v>
      </c>
      <c r="G54" s="330">
        <v>30</v>
      </c>
      <c r="H54" s="330"/>
      <c r="I54" s="337" t="s">
        <v>882</v>
      </c>
      <c r="J54" s="337">
        <v>75</v>
      </c>
    </row>
    <row r="55" spans="1:10" hidden="1">
      <c r="A55" s="344" t="s">
        <v>27</v>
      </c>
      <c r="B55" s="328" t="s">
        <v>591</v>
      </c>
      <c r="C55" s="328" t="s">
        <v>633</v>
      </c>
      <c r="D55" s="335" t="s">
        <v>79</v>
      </c>
      <c r="E55" s="336">
        <v>13</v>
      </c>
      <c r="F55" s="330">
        <v>45</v>
      </c>
      <c r="G55" s="330">
        <v>30</v>
      </c>
      <c r="H55" s="330"/>
      <c r="I55" s="337" t="s">
        <v>879</v>
      </c>
      <c r="J55" s="337">
        <v>75</v>
      </c>
    </row>
    <row r="56" spans="1:10" hidden="1">
      <c r="A56" s="344" t="s">
        <v>27</v>
      </c>
      <c r="B56" s="347" t="s">
        <v>589</v>
      </c>
      <c r="C56" s="328" t="s">
        <v>634</v>
      </c>
      <c r="D56" s="335" t="s">
        <v>79</v>
      </c>
      <c r="E56" s="336">
        <v>17</v>
      </c>
      <c r="F56" s="330">
        <v>30</v>
      </c>
      <c r="G56" s="330">
        <v>30</v>
      </c>
      <c r="H56" s="330"/>
      <c r="I56" s="337" t="s">
        <v>828</v>
      </c>
      <c r="J56" s="337">
        <v>60</v>
      </c>
    </row>
    <row r="57" spans="1:10" hidden="1">
      <c r="A57" s="344" t="s">
        <v>27</v>
      </c>
      <c r="B57" s="328" t="s">
        <v>591</v>
      </c>
      <c r="C57" s="328" t="s">
        <v>634</v>
      </c>
      <c r="D57" s="335" t="s">
        <v>79</v>
      </c>
      <c r="E57" s="336">
        <v>13</v>
      </c>
      <c r="F57" s="330">
        <v>30</v>
      </c>
      <c r="G57" s="330">
        <v>30</v>
      </c>
      <c r="H57" s="330"/>
      <c r="I57" s="337" t="s">
        <v>902</v>
      </c>
      <c r="J57" s="337">
        <v>60</v>
      </c>
    </row>
    <row r="58" spans="1:10" ht="76.5" hidden="1">
      <c r="A58" s="344" t="s">
        <v>27</v>
      </c>
      <c r="B58" s="347" t="s">
        <v>589</v>
      </c>
      <c r="C58" s="348" t="s">
        <v>838</v>
      </c>
      <c r="D58" s="335" t="s">
        <v>79</v>
      </c>
      <c r="E58" s="336">
        <v>17</v>
      </c>
      <c r="F58" s="337">
        <v>30</v>
      </c>
      <c r="G58" s="337">
        <v>15</v>
      </c>
      <c r="H58" s="330"/>
      <c r="I58" s="337" t="s">
        <v>826</v>
      </c>
      <c r="J58" s="331">
        <f>F58+G58+H58</f>
        <v>45</v>
      </c>
    </row>
    <row r="59" spans="1:10" ht="76.5" hidden="1">
      <c r="A59" s="344" t="s">
        <v>27</v>
      </c>
      <c r="B59" s="328" t="s">
        <v>591</v>
      </c>
      <c r="C59" s="348" t="s">
        <v>838</v>
      </c>
      <c r="D59" s="335" t="s">
        <v>79</v>
      </c>
      <c r="E59" s="336">
        <v>13</v>
      </c>
      <c r="F59" s="337">
        <v>30</v>
      </c>
      <c r="G59" s="337">
        <v>15</v>
      </c>
      <c r="H59" s="330"/>
      <c r="I59" s="337" t="s">
        <v>823</v>
      </c>
      <c r="J59" s="331">
        <f>F59+G59+H59</f>
        <v>45</v>
      </c>
    </row>
    <row r="60" spans="1:10" ht="25.5" hidden="1">
      <c r="A60" s="344" t="s">
        <v>27</v>
      </c>
      <c r="B60" s="328" t="s">
        <v>635</v>
      </c>
      <c r="C60" s="350" t="s">
        <v>636</v>
      </c>
      <c r="D60" s="335" t="s">
        <v>64</v>
      </c>
      <c r="E60" s="336">
        <v>28</v>
      </c>
      <c r="F60" s="330">
        <v>30</v>
      </c>
      <c r="G60" s="330">
        <v>30</v>
      </c>
      <c r="H60" s="330"/>
      <c r="I60" s="337" t="s">
        <v>878</v>
      </c>
      <c r="J60" s="337">
        <v>60</v>
      </c>
    </row>
    <row r="61" spans="1:10" ht="25.5" hidden="1">
      <c r="A61" s="344" t="s">
        <v>27</v>
      </c>
      <c r="B61" s="328" t="s">
        <v>637</v>
      </c>
      <c r="C61" s="350" t="s">
        <v>636</v>
      </c>
      <c r="D61" s="335" t="s">
        <v>64</v>
      </c>
      <c r="E61" s="336">
        <v>7</v>
      </c>
      <c r="F61" s="330">
        <v>30</v>
      </c>
      <c r="G61" s="330">
        <v>30</v>
      </c>
      <c r="H61" s="330"/>
      <c r="I61" s="337" t="s">
        <v>819</v>
      </c>
      <c r="J61" s="337">
        <v>60</v>
      </c>
    </row>
    <row r="62" spans="1:10" ht="25.5" hidden="1">
      <c r="A62" s="344" t="s">
        <v>27</v>
      </c>
      <c r="B62" s="328" t="s">
        <v>635</v>
      </c>
      <c r="C62" s="350" t="s">
        <v>638</v>
      </c>
      <c r="D62" s="335" t="s">
        <v>64</v>
      </c>
      <c r="E62" s="336">
        <v>28</v>
      </c>
      <c r="F62" s="330">
        <v>60</v>
      </c>
      <c r="G62" s="330">
        <v>30</v>
      </c>
      <c r="H62" s="330"/>
      <c r="I62" s="337" t="s">
        <v>829</v>
      </c>
      <c r="J62" s="337">
        <v>90</v>
      </c>
    </row>
    <row r="63" spans="1:10" ht="25.5" hidden="1">
      <c r="A63" s="344" t="s">
        <v>27</v>
      </c>
      <c r="B63" s="328" t="s">
        <v>637</v>
      </c>
      <c r="C63" s="350" t="s">
        <v>638</v>
      </c>
      <c r="D63" s="335" t="s">
        <v>64</v>
      </c>
      <c r="E63" s="336">
        <v>7</v>
      </c>
      <c r="F63" s="330">
        <v>60</v>
      </c>
      <c r="G63" s="330">
        <v>30</v>
      </c>
      <c r="H63" s="330"/>
      <c r="I63" s="337" t="s">
        <v>875</v>
      </c>
      <c r="J63" s="337">
        <v>90</v>
      </c>
    </row>
    <row r="64" spans="1:10" ht="38.25" hidden="1">
      <c r="A64" s="344" t="s">
        <v>27</v>
      </c>
      <c r="B64" s="328" t="s">
        <v>635</v>
      </c>
      <c r="C64" s="351" t="s">
        <v>639</v>
      </c>
      <c r="D64" s="335" t="s">
        <v>64</v>
      </c>
      <c r="E64" s="336">
        <v>28</v>
      </c>
      <c r="F64" s="330">
        <v>30</v>
      </c>
      <c r="G64" s="330">
        <v>30</v>
      </c>
      <c r="H64" s="330"/>
      <c r="I64" s="337" t="s">
        <v>821</v>
      </c>
      <c r="J64" s="337">
        <v>60</v>
      </c>
    </row>
    <row r="65" spans="1:11" ht="38.25" hidden="1">
      <c r="A65" s="344" t="s">
        <v>27</v>
      </c>
      <c r="B65" s="328" t="s">
        <v>637</v>
      </c>
      <c r="C65" s="351" t="s">
        <v>639</v>
      </c>
      <c r="D65" s="335" t="s">
        <v>64</v>
      </c>
      <c r="E65" s="336">
        <v>7</v>
      </c>
      <c r="F65" s="330">
        <v>30</v>
      </c>
      <c r="G65" s="330">
        <v>30</v>
      </c>
      <c r="H65" s="330"/>
      <c r="I65" s="337" t="s">
        <v>825</v>
      </c>
      <c r="J65" s="337">
        <v>60</v>
      </c>
    </row>
    <row r="66" spans="1:11" ht="51" hidden="1">
      <c r="A66" s="344" t="s">
        <v>27</v>
      </c>
      <c r="B66" s="328" t="s">
        <v>635</v>
      </c>
      <c r="C66" s="328" t="s">
        <v>839</v>
      </c>
      <c r="D66" s="335" t="s">
        <v>64</v>
      </c>
      <c r="E66" s="336">
        <v>28</v>
      </c>
      <c r="F66" s="330">
        <v>30</v>
      </c>
      <c r="G66" s="330">
        <v>15</v>
      </c>
      <c r="H66" s="330"/>
      <c r="I66" s="337" t="s">
        <v>827</v>
      </c>
      <c r="J66" s="331">
        <f>F66+G66+H66</f>
        <v>45</v>
      </c>
    </row>
    <row r="67" spans="1:11" ht="51" hidden="1">
      <c r="A67" s="344" t="s">
        <v>27</v>
      </c>
      <c r="B67" s="328" t="s">
        <v>637</v>
      </c>
      <c r="C67" s="328" t="s">
        <v>839</v>
      </c>
      <c r="D67" s="335" t="s">
        <v>64</v>
      </c>
      <c r="E67" s="336">
        <v>7</v>
      </c>
      <c r="F67" s="330">
        <v>30</v>
      </c>
      <c r="G67" s="330">
        <v>15</v>
      </c>
      <c r="H67" s="330"/>
      <c r="I67" s="337" t="s">
        <v>823</v>
      </c>
      <c r="J67" s="331">
        <f>F67+G67+H67</f>
        <v>45</v>
      </c>
    </row>
    <row r="68" spans="1:11" ht="51" hidden="1">
      <c r="A68" s="344" t="s">
        <v>27</v>
      </c>
      <c r="B68" s="328" t="s">
        <v>635</v>
      </c>
      <c r="C68" s="327" t="s">
        <v>840</v>
      </c>
      <c r="D68" s="335" t="s">
        <v>64</v>
      </c>
      <c r="E68" s="336">
        <v>28</v>
      </c>
      <c r="F68" s="330">
        <v>30</v>
      </c>
      <c r="G68" s="330">
        <v>15</v>
      </c>
      <c r="H68" s="330"/>
      <c r="I68" s="337" t="s">
        <v>829</v>
      </c>
      <c r="J68" s="331">
        <f>F68+G68+H68</f>
        <v>45</v>
      </c>
    </row>
    <row r="69" spans="1:11" ht="51" hidden="1">
      <c r="A69" s="344" t="s">
        <v>27</v>
      </c>
      <c r="B69" s="328" t="s">
        <v>637</v>
      </c>
      <c r="C69" s="327" t="s">
        <v>840</v>
      </c>
      <c r="D69" s="335" t="s">
        <v>64</v>
      </c>
      <c r="E69" s="336">
        <v>7</v>
      </c>
      <c r="F69" s="330">
        <v>30</v>
      </c>
      <c r="G69" s="330">
        <v>15</v>
      </c>
      <c r="H69" s="330"/>
      <c r="I69" s="337" t="s">
        <v>829</v>
      </c>
      <c r="J69" s="331">
        <f>F69+G69+H69</f>
        <v>45</v>
      </c>
    </row>
    <row r="70" spans="1:11" ht="51" hidden="1">
      <c r="A70" s="344" t="s">
        <v>27</v>
      </c>
      <c r="B70" s="328" t="s">
        <v>635</v>
      </c>
      <c r="C70" s="328" t="s">
        <v>841</v>
      </c>
      <c r="D70" s="335" t="s">
        <v>64</v>
      </c>
      <c r="E70" s="336">
        <v>28</v>
      </c>
      <c r="F70" s="330">
        <v>30</v>
      </c>
      <c r="G70" s="330">
        <v>15</v>
      </c>
      <c r="H70" s="330"/>
      <c r="I70" s="337" t="s">
        <v>818</v>
      </c>
      <c r="J70" s="337">
        <v>45</v>
      </c>
    </row>
    <row r="71" spans="1:11" ht="51" hidden="1">
      <c r="A71" s="344" t="s">
        <v>27</v>
      </c>
      <c r="B71" s="328" t="s">
        <v>637</v>
      </c>
      <c r="C71" s="328" t="s">
        <v>841</v>
      </c>
      <c r="D71" s="335" t="s">
        <v>64</v>
      </c>
      <c r="E71" s="336">
        <v>7</v>
      </c>
      <c r="F71" s="330">
        <v>30</v>
      </c>
      <c r="G71" s="330">
        <v>15</v>
      </c>
      <c r="H71" s="330"/>
      <c r="I71" s="337" t="s">
        <v>879</v>
      </c>
      <c r="J71" s="337">
        <v>45</v>
      </c>
    </row>
    <row r="72" spans="1:11" ht="38.25" hidden="1">
      <c r="A72" s="352" t="s">
        <v>27</v>
      </c>
      <c r="B72" s="334" t="s">
        <v>806</v>
      </c>
      <c r="C72" s="328" t="s">
        <v>633</v>
      </c>
      <c r="D72" s="353" t="s">
        <v>723</v>
      </c>
      <c r="E72" s="336">
        <v>8</v>
      </c>
      <c r="F72" s="337">
        <v>30</v>
      </c>
      <c r="G72" s="337">
        <v>15</v>
      </c>
      <c r="H72" s="337">
        <v>45</v>
      </c>
      <c r="I72" s="354" t="s">
        <v>874</v>
      </c>
      <c r="J72" s="330">
        <v>45</v>
      </c>
      <c r="K72" s="378"/>
    </row>
    <row r="73" spans="1:11" ht="38.25" hidden="1">
      <c r="A73" s="352" t="s">
        <v>27</v>
      </c>
      <c r="B73" s="334" t="s">
        <v>830</v>
      </c>
      <c r="C73" s="328" t="s">
        <v>633</v>
      </c>
      <c r="D73" s="353" t="s">
        <v>723</v>
      </c>
      <c r="E73" s="336">
        <v>8</v>
      </c>
      <c r="F73" s="337">
        <v>30</v>
      </c>
      <c r="G73" s="337">
        <v>15</v>
      </c>
      <c r="H73" s="337">
        <v>45</v>
      </c>
      <c r="I73" s="354" t="s">
        <v>823</v>
      </c>
      <c r="J73" s="330">
        <v>45</v>
      </c>
      <c r="K73" s="378"/>
    </row>
    <row r="74" spans="1:11" ht="63.75" hidden="1">
      <c r="A74" s="352" t="s">
        <v>27</v>
      </c>
      <c r="B74" s="334" t="s">
        <v>806</v>
      </c>
      <c r="C74" s="328" t="s">
        <v>842</v>
      </c>
      <c r="D74" s="353" t="s">
        <v>723</v>
      </c>
      <c r="E74" s="336">
        <v>8</v>
      </c>
      <c r="F74" s="337">
        <v>30</v>
      </c>
      <c r="G74" s="337">
        <v>15</v>
      </c>
      <c r="H74" s="337"/>
      <c r="I74" s="337" t="s">
        <v>819</v>
      </c>
      <c r="J74" s="330">
        <v>45</v>
      </c>
      <c r="K74" s="378"/>
    </row>
    <row r="75" spans="1:11" ht="63.75" hidden="1">
      <c r="A75" s="352" t="s">
        <v>27</v>
      </c>
      <c r="B75" s="334" t="s">
        <v>743</v>
      </c>
      <c r="C75" s="328" t="s">
        <v>842</v>
      </c>
      <c r="D75" s="353" t="s">
        <v>744</v>
      </c>
      <c r="E75" s="336">
        <v>8</v>
      </c>
      <c r="F75" s="337">
        <v>30</v>
      </c>
      <c r="G75" s="337">
        <v>30</v>
      </c>
      <c r="H75" s="337"/>
      <c r="I75" s="354" t="s">
        <v>873</v>
      </c>
      <c r="J75" s="330">
        <v>60</v>
      </c>
      <c r="K75" s="378"/>
    </row>
    <row r="76" spans="1:11" ht="36" hidden="1" customHeight="1">
      <c r="A76" s="352" t="s">
        <v>27</v>
      </c>
      <c r="B76" s="334" t="s">
        <v>738</v>
      </c>
      <c r="C76" s="328" t="s">
        <v>736</v>
      </c>
      <c r="D76" s="353" t="s">
        <v>735</v>
      </c>
      <c r="E76" s="336">
        <v>10</v>
      </c>
      <c r="F76" s="337">
        <v>30</v>
      </c>
      <c r="G76" s="337">
        <v>15</v>
      </c>
      <c r="H76" s="337"/>
      <c r="I76" s="354" t="s">
        <v>874</v>
      </c>
      <c r="J76" s="330">
        <v>45</v>
      </c>
      <c r="K76" s="378"/>
    </row>
    <row r="77" spans="1:11" ht="24.75" hidden="1" customHeight="1">
      <c r="A77" s="352" t="s">
        <v>27</v>
      </c>
      <c r="B77" s="334" t="s">
        <v>738</v>
      </c>
      <c r="C77" s="328" t="s">
        <v>737</v>
      </c>
      <c r="D77" s="353" t="s">
        <v>735</v>
      </c>
      <c r="E77" s="336">
        <v>10</v>
      </c>
      <c r="F77" s="337">
        <v>30</v>
      </c>
      <c r="G77" s="337">
        <v>15</v>
      </c>
      <c r="H77" s="337"/>
      <c r="I77" s="354" t="s">
        <v>874</v>
      </c>
      <c r="J77" s="330">
        <v>45</v>
      </c>
      <c r="K77" s="378"/>
    </row>
    <row r="78" spans="1:11" ht="51" hidden="1">
      <c r="A78" s="344" t="s">
        <v>27</v>
      </c>
      <c r="B78" s="347" t="s">
        <v>640</v>
      </c>
      <c r="C78" s="328" t="s">
        <v>843</v>
      </c>
      <c r="D78" s="355" t="s">
        <v>449</v>
      </c>
      <c r="E78" s="336" t="s">
        <v>641</v>
      </c>
      <c r="F78" s="330">
        <v>10</v>
      </c>
      <c r="G78" s="330">
        <v>5</v>
      </c>
      <c r="H78" s="330"/>
      <c r="I78" s="337" t="s">
        <v>823</v>
      </c>
      <c r="J78" s="331">
        <f>F78+G78+H78</f>
        <v>15</v>
      </c>
    </row>
    <row r="79" spans="1:11" hidden="1">
      <c r="A79" s="344" t="s">
        <v>27</v>
      </c>
      <c r="B79" s="334" t="s">
        <v>535</v>
      </c>
      <c r="C79" s="334" t="s">
        <v>627</v>
      </c>
      <c r="D79" s="335" t="s">
        <v>457</v>
      </c>
      <c r="E79" s="336">
        <v>5</v>
      </c>
      <c r="F79" s="330">
        <v>10</v>
      </c>
      <c r="G79" s="330">
        <v>10</v>
      </c>
      <c r="H79" s="330"/>
      <c r="I79" s="337" t="s">
        <v>818</v>
      </c>
      <c r="J79" s="337">
        <v>20</v>
      </c>
    </row>
    <row r="80" spans="1:11" hidden="1">
      <c r="A80" s="344" t="s">
        <v>27</v>
      </c>
      <c r="B80" s="334" t="s">
        <v>535</v>
      </c>
      <c r="C80" s="334" t="s">
        <v>623</v>
      </c>
      <c r="D80" s="335" t="s">
        <v>457</v>
      </c>
      <c r="E80" s="336">
        <v>5</v>
      </c>
      <c r="F80" s="330">
        <v>10</v>
      </c>
      <c r="G80" s="330">
        <v>10</v>
      </c>
      <c r="H80" s="330"/>
      <c r="I80" s="337" t="s">
        <v>876</v>
      </c>
      <c r="J80" s="337">
        <v>20</v>
      </c>
    </row>
    <row r="81" spans="1:13" hidden="1">
      <c r="A81" s="344" t="s">
        <v>27</v>
      </c>
      <c r="B81" s="334" t="s">
        <v>535</v>
      </c>
      <c r="C81" s="334" t="s">
        <v>642</v>
      </c>
      <c r="D81" s="335" t="s">
        <v>457</v>
      </c>
      <c r="E81" s="336">
        <v>5</v>
      </c>
      <c r="F81" s="330">
        <v>10</v>
      </c>
      <c r="G81" s="330">
        <v>5</v>
      </c>
      <c r="H81" s="330"/>
      <c r="I81" s="337" t="s">
        <v>827</v>
      </c>
      <c r="J81" s="337">
        <v>15</v>
      </c>
    </row>
    <row r="82" spans="1:13" ht="25.5" hidden="1">
      <c r="A82" s="344" t="s">
        <v>27</v>
      </c>
      <c r="B82" s="334" t="s">
        <v>593</v>
      </c>
      <c r="C82" s="356" t="s">
        <v>643</v>
      </c>
      <c r="D82" s="335" t="s">
        <v>457</v>
      </c>
      <c r="E82" s="336">
        <v>10</v>
      </c>
      <c r="F82" s="357">
        <v>10</v>
      </c>
      <c r="G82" s="357">
        <v>10</v>
      </c>
      <c r="H82" s="357"/>
      <c r="I82" s="331" t="s">
        <v>825</v>
      </c>
      <c r="J82" s="337">
        <v>20</v>
      </c>
    </row>
    <row r="83" spans="1:13" hidden="1">
      <c r="A83" s="344" t="s">
        <v>27</v>
      </c>
      <c r="B83" s="334" t="s">
        <v>593</v>
      </c>
      <c r="C83" s="334" t="s">
        <v>634</v>
      </c>
      <c r="D83" s="335" t="s">
        <v>457</v>
      </c>
      <c r="E83" s="336">
        <v>10</v>
      </c>
      <c r="F83" s="330">
        <v>10</v>
      </c>
      <c r="G83" s="330">
        <v>5</v>
      </c>
      <c r="H83" s="330"/>
      <c r="I83" s="337" t="s">
        <v>825</v>
      </c>
      <c r="J83" s="331">
        <f>F83+G83+H83</f>
        <v>15</v>
      </c>
    </row>
    <row r="84" spans="1:13" hidden="1">
      <c r="A84" s="344" t="s">
        <v>27</v>
      </c>
      <c r="B84" s="334" t="s">
        <v>536</v>
      </c>
      <c r="C84" s="358" t="s">
        <v>644</v>
      </c>
      <c r="D84" s="335" t="s">
        <v>79</v>
      </c>
      <c r="E84" s="336">
        <v>10</v>
      </c>
      <c r="F84" s="345">
        <v>15</v>
      </c>
      <c r="G84" s="345">
        <v>15</v>
      </c>
      <c r="H84" s="345"/>
      <c r="I84" s="337" t="s">
        <v>823</v>
      </c>
      <c r="J84" s="337">
        <v>30</v>
      </c>
    </row>
    <row r="85" spans="1:13" ht="51" hidden="1">
      <c r="A85" s="344" t="s">
        <v>27</v>
      </c>
      <c r="B85" s="334" t="s">
        <v>536</v>
      </c>
      <c r="C85" s="334" t="s">
        <v>844</v>
      </c>
      <c r="D85" s="335" t="s">
        <v>79</v>
      </c>
      <c r="E85" s="336">
        <v>10</v>
      </c>
      <c r="F85" s="330">
        <v>10</v>
      </c>
      <c r="G85" s="330">
        <v>5</v>
      </c>
      <c r="H85" s="330"/>
      <c r="I85" s="337" t="s">
        <v>820</v>
      </c>
      <c r="J85" s="337">
        <v>15</v>
      </c>
    </row>
    <row r="86" spans="1:13" hidden="1">
      <c r="A86" s="344" t="s">
        <v>27</v>
      </c>
      <c r="B86" s="334" t="s">
        <v>595</v>
      </c>
      <c r="C86" s="327" t="s">
        <v>628</v>
      </c>
      <c r="D86" s="335" t="s">
        <v>79</v>
      </c>
      <c r="E86" s="336">
        <v>5</v>
      </c>
      <c r="F86" s="357">
        <v>10</v>
      </c>
      <c r="G86" s="357">
        <v>10</v>
      </c>
      <c r="H86" s="357"/>
      <c r="I86" s="331" t="s">
        <v>818</v>
      </c>
      <c r="J86" s="331">
        <v>20</v>
      </c>
    </row>
    <row r="87" spans="1:13" hidden="1">
      <c r="A87" s="344" t="s">
        <v>27</v>
      </c>
      <c r="B87" s="334" t="s">
        <v>595</v>
      </c>
      <c r="C87" s="327" t="s">
        <v>645</v>
      </c>
      <c r="D87" s="335" t="s">
        <v>79</v>
      </c>
      <c r="E87" s="336">
        <v>5</v>
      </c>
      <c r="F87" s="357">
        <v>15</v>
      </c>
      <c r="G87" s="357">
        <v>15</v>
      </c>
      <c r="H87" s="357"/>
      <c r="I87" s="331" t="s">
        <v>827</v>
      </c>
      <c r="J87" s="331">
        <v>30</v>
      </c>
    </row>
    <row r="88" spans="1:13" hidden="1">
      <c r="A88" s="344" t="s">
        <v>27</v>
      </c>
      <c r="B88" s="347" t="s">
        <v>539</v>
      </c>
      <c r="C88" s="358" t="s">
        <v>646</v>
      </c>
      <c r="D88" s="335" t="s">
        <v>64</v>
      </c>
      <c r="E88" s="336">
        <v>9</v>
      </c>
      <c r="F88" s="357">
        <v>10</v>
      </c>
      <c r="G88" s="357">
        <v>10</v>
      </c>
      <c r="H88" s="330"/>
      <c r="I88" s="337" t="s">
        <v>876</v>
      </c>
      <c r="J88" s="331">
        <f>F88+G88+H88</f>
        <v>20</v>
      </c>
    </row>
    <row r="89" spans="1:13" ht="63.75" hidden="1">
      <c r="A89" s="344" t="s">
        <v>27</v>
      </c>
      <c r="B89" s="347" t="s">
        <v>539</v>
      </c>
      <c r="C89" s="334" t="s">
        <v>647</v>
      </c>
      <c r="D89" s="335" t="s">
        <v>64</v>
      </c>
      <c r="E89" s="336">
        <v>9</v>
      </c>
      <c r="F89" s="330">
        <v>10</v>
      </c>
      <c r="G89" s="330">
        <v>10</v>
      </c>
      <c r="H89" s="330"/>
      <c r="I89" s="337" t="s">
        <v>818</v>
      </c>
      <c r="J89" s="337">
        <v>20</v>
      </c>
    </row>
    <row r="90" spans="1:13" ht="38.25" hidden="1">
      <c r="A90" s="344" t="s">
        <v>27</v>
      </c>
      <c r="B90" s="347" t="s">
        <v>539</v>
      </c>
      <c r="C90" s="359" t="s">
        <v>845</v>
      </c>
      <c r="D90" s="335" t="s">
        <v>64</v>
      </c>
      <c r="E90" s="336">
        <v>9</v>
      </c>
      <c r="F90" s="330">
        <v>10</v>
      </c>
      <c r="G90" s="330">
        <v>10</v>
      </c>
      <c r="H90" s="330"/>
      <c r="I90" s="337" t="s">
        <v>823</v>
      </c>
      <c r="J90" s="337">
        <v>20</v>
      </c>
    </row>
    <row r="91" spans="1:13" ht="63.75" hidden="1">
      <c r="A91" s="344" t="s">
        <v>27</v>
      </c>
      <c r="B91" s="347" t="s">
        <v>539</v>
      </c>
      <c r="C91" s="328" t="s">
        <v>846</v>
      </c>
      <c r="D91" s="335" t="s">
        <v>64</v>
      </c>
      <c r="E91" s="336">
        <v>9</v>
      </c>
      <c r="F91" s="330">
        <v>5</v>
      </c>
      <c r="G91" s="330">
        <v>10</v>
      </c>
      <c r="H91" s="330"/>
      <c r="I91" s="337" t="s">
        <v>820</v>
      </c>
      <c r="J91" s="337">
        <v>15</v>
      </c>
      <c r="M91" s="4" t="s">
        <v>45</v>
      </c>
    </row>
    <row r="92" spans="1:13" ht="25.5" hidden="1">
      <c r="A92" s="344" t="s">
        <v>27</v>
      </c>
      <c r="B92" s="347" t="s">
        <v>648</v>
      </c>
      <c r="C92" s="328" t="s">
        <v>649</v>
      </c>
      <c r="D92" s="335" t="s">
        <v>64</v>
      </c>
      <c r="E92" s="336">
        <v>10</v>
      </c>
      <c r="F92" s="330">
        <v>10</v>
      </c>
      <c r="G92" s="330">
        <v>10</v>
      </c>
      <c r="H92" s="330"/>
      <c r="I92" s="337" t="s">
        <v>825</v>
      </c>
      <c r="J92" s="337">
        <v>20</v>
      </c>
    </row>
    <row r="93" spans="1:13" ht="25.5" hidden="1">
      <c r="A93" s="344" t="s">
        <v>27</v>
      </c>
      <c r="B93" s="347" t="s">
        <v>648</v>
      </c>
      <c r="C93" s="328" t="s">
        <v>650</v>
      </c>
      <c r="D93" s="335" t="s">
        <v>64</v>
      </c>
      <c r="E93" s="336">
        <v>10</v>
      </c>
      <c r="F93" s="330">
        <v>20</v>
      </c>
      <c r="G93" s="330">
        <v>10</v>
      </c>
      <c r="H93" s="330"/>
      <c r="I93" s="337" t="s">
        <v>821</v>
      </c>
      <c r="J93" s="331">
        <f>F93+G93+H93</f>
        <v>30</v>
      </c>
    </row>
    <row r="94" spans="1:13" ht="25.5" hidden="1">
      <c r="A94" s="344" t="s">
        <v>27</v>
      </c>
      <c r="B94" s="347" t="s">
        <v>651</v>
      </c>
      <c r="C94" s="350" t="s">
        <v>638</v>
      </c>
      <c r="D94" s="335" t="s">
        <v>652</v>
      </c>
      <c r="E94" s="336">
        <v>10</v>
      </c>
      <c r="F94" s="330">
        <v>20</v>
      </c>
      <c r="G94" s="330">
        <v>10</v>
      </c>
      <c r="H94" s="330"/>
      <c r="I94" s="337" t="s">
        <v>829</v>
      </c>
      <c r="J94" s="331">
        <f>F94+G94+H94</f>
        <v>30</v>
      </c>
    </row>
    <row r="95" spans="1:13" ht="63.75" hidden="1">
      <c r="A95" s="360" t="s">
        <v>27</v>
      </c>
      <c r="B95" s="361" t="s">
        <v>653</v>
      </c>
      <c r="C95" s="362" t="s">
        <v>847</v>
      </c>
      <c r="D95" s="363" t="s">
        <v>64</v>
      </c>
      <c r="E95" s="364">
        <v>9</v>
      </c>
      <c r="F95" s="365">
        <v>10</v>
      </c>
      <c r="G95" s="365">
        <v>5</v>
      </c>
      <c r="H95" s="366"/>
      <c r="I95" s="367" t="s">
        <v>827</v>
      </c>
      <c r="J95" s="367">
        <f>F95+G95+H95</f>
        <v>15</v>
      </c>
    </row>
    <row r="96" spans="1:13" ht="51" hidden="1">
      <c r="A96" s="329" t="s">
        <v>27</v>
      </c>
      <c r="B96" s="328" t="s">
        <v>653</v>
      </c>
      <c r="C96" s="328" t="s">
        <v>848</v>
      </c>
      <c r="D96" s="328" t="s">
        <v>64</v>
      </c>
      <c r="E96" s="329">
        <v>9</v>
      </c>
      <c r="F96" s="339">
        <v>10</v>
      </c>
      <c r="G96" s="339">
        <v>5</v>
      </c>
      <c r="H96" s="339"/>
      <c r="I96" s="339" t="s">
        <v>826</v>
      </c>
      <c r="J96" s="339">
        <f>F96+G96+H96</f>
        <v>15</v>
      </c>
    </row>
    <row r="97" spans="1:11" hidden="1">
      <c r="A97" s="328" t="s">
        <v>27</v>
      </c>
      <c r="B97" s="326" t="s">
        <v>519</v>
      </c>
      <c r="C97" s="328" t="s">
        <v>654</v>
      </c>
      <c r="D97" s="328" t="s">
        <v>78</v>
      </c>
      <c r="E97" s="329">
        <v>21</v>
      </c>
      <c r="F97" s="339">
        <v>30</v>
      </c>
      <c r="G97" s="339">
        <v>30</v>
      </c>
      <c r="H97" s="339"/>
      <c r="I97" s="339" t="s">
        <v>827</v>
      </c>
      <c r="J97" s="339">
        <v>60</v>
      </c>
    </row>
    <row r="98" spans="1:11" hidden="1">
      <c r="A98" s="328" t="s">
        <v>27</v>
      </c>
      <c r="B98" s="326" t="s">
        <v>515</v>
      </c>
      <c r="C98" s="328" t="s">
        <v>654</v>
      </c>
      <c r="D98" s="328" t="s">
        <v>78</v>
      </c>
      <c r="E98" s="329">
        <v>8</v>
      </c>
      <c r="F98" s="339">
        <v>30</v>
      </c>
      <c r="G98" s="339">
        <v>30</v>
      </c>
      <c r="H98" s="339"/>
      <c r="I98" s="339" t="s">
        <v>826</v>
      </c>
      <c r="J98" s="339">
        <v>60</v>
      </c>
    </row>
    <row r="99" spans="1:11" ht="51" hidden="1">
      <c r="A99" s="329" t="s">
        <v>27</v>
      </c>
      <c r="B99" s="347" t="s">
        <v>517</v>
      </c>
      <c r="C99" s="328" t="s">
        <v>849</v>
      </c>
      <c r="D99" s="335" t="s">
        <v>457</v>
      </c>
      <c r="E99" s="336">
        <v>13</v>
      </c>
      <c r="F99" s="337">
        <v>30</v>
      </c>
      <c r="G99" s="337">
        <v>30</v>
      </c>
      <c r="H99" s="345"/>
      <c r="I99" s="337" t="s">
        <v>878</v>
      </c>
      <c r="J99" s="337">
        <v>60</v>
      </c>
    </row>
    <row r="100" spans="1:11">
      <c r="A100" s="329" t="s">
        <v>36</v>
      </c>
      <c r="B100" s="368" t="s">
        <v>455</v>
      </c>
      <c r="C100" s="327" t="s">
        <v>655</v>
      </c>
      <c r="D100" s="328" t="s">
        <v>457</v>
      </c>
      <c r="E100" s="329">
        <v>40</v>
      </c>
      <c r="F100" s="339">
        <v>30</v>
      </c>
      <c r="G100" s="339">
        <v>15</v>
      </c>
      <c r="H100" s="339"/>
      <c r="I100" s="339" t="s">
        <v>880</v>
      </c>
      <c r="J100" s="339">
        <v>45</v>
      </c>
      <c r="K100" s="379"/>
    </row>
    <row r="101" spans="1:11">
      <c r="A101" s="312" t="s">
        <v>36</v>
      </c>
      <c r="B101" s="333" t="s">
        <v>458</v>
      </c>
      <c r="C101" s="350" t="s">
        <v>655</v>
      </c>
      <c r="D101" s="335" t="s">
        <v>457</v>
      </c>
      <c r="E101" s="336">
        <v>25</v>
      </c>
      <c r="F101" s="330">
        <v>30</v>
      </c>
      <c r="G101" s="330">
        <v>15</v>
      </c>
      <c r="H101" s="330"/>
      <c r="I101" s="337" t="s">
        <v>817</v>
      </c>
      <c r="J101" s="337">
        <v>45</v>
      </c>
    </row>
    <row r="102" spans="1:11">
      <c r="A102" s="312" t="s">
        <v>36</v>
      </c>
      <c r="B102" s="334" t="s">
        <v>463</v>
      </c>
      <c r="C102" s="369" t="s">
        <v>656</v>
      </c>
      <c r="D102" s="340" t="s">
        <v>100</v>
      </c>
      <c r="E102" s="336">
        <v>40</v>
      </c>
      <c r="F102" s="330">
        <v>30</v>
      </c>
      <c r="G102" s="330">
        <v>30</v>
      </c>
      <c r="H102" s="330"/>
      <c r="I102" s="337" t="s">
        <v>818</v>
      </c>
      <c r="J102" s="337">
        <v>60</v>
      </c>
    </row>
    <row r="103" spans="1:11">
      <c r="A103" s="312" t="s">
        <v>36</v>
      </c>
      <c r="B103" s="334" t="s">
        <v>465</v>
      </c>
      <c r="C103" s="350" t="s">
        <v>656</v>
      </c>
      <c r="D103" s="335" t="s">
        <v>100</v>
      </c>
      <c r="E103" s="336">
        <v>24</v>
      </c>
      <c r="F103" s="330">
        <v>30</v>
      </c>
      <c r="G103" s="330">
        <v>30</v>
      </c>
      <c r="H103" s="330"/>
      <c r="I103" s="337" t="s">
        <v>876</v>
      </c>
      <c r="J103" s="337">
        <v>60</v>
      </c>
    </row>
    <row r="104" spans="1:11" ht="25.5">
      <c r="A104" s="312" t="s">
        <v>36</v>
      </c>
      <c r="B104" s="341" t="s">
        <v>567</v>
      </c>
      <c r="C104" s="358" t="s">
        <v>644</v>
      </c>
      <c r="D104" s="342" t="s">
        <v>449</v>
      </c>
      <c r="E104" s="336" t="s">
        <v>568</v>
      </c>
      <c r="F104" s="330">
        <v>45</v>
      </c>
      <c r="G104" s="330">
        <v>90</v>
      </c>
      <c r="H104" s="330"/>
      <c r="I104" s="337" t="s">
        <v>820</v>
      </c>
      <c r="J104" s="331">
        <f t="shared" ref="J104:J113" si="2">F104+G104+H104</f>
        <v>135</v>
      </c>
    </row>
    <row r="105" spans="1:11" ht="25.5">
      <c r="A105" s="312" t="s">
        <v>36</v>
      </c>
      <c r="B105" s="341" t="s">
        <v>657</v>
      </c>
      <c r="C105" s="358" t="s">
        <v>644</v>
      </c>
      <c r="D105" s="342" t="s">
        <v>449</v>
      </c>
      <c r="E105" s="336" t="s">
        <v>570</v>
      </c>
      <c r="F105" s="330">
        <v>45</v>
      </c>
      <c r="G105" s="330">
        <v>45</v>
      </c>
      <c r="H105" s="330"/>
      <c r="I105" s="337" t="s">
        <v>825</v>
      </c>
      <c r="J105" s="331">
        <f t="shared" si="2"/>
        <v>90</v>
      </c>
    </row>
    <row r="106" spans="1:11" ht="51">
      <c r="A106" s="312" t="s">
        <v>36</v>
      </c>
      <c r="B106" s="341" t="s">
        <v>615</v>
      </c>
      <c r="C106" s="334" t="s">
        <v>850</v>
      </c>
      <c r="D106" s="342" t="s">
        <v>78</v>
      </c>
      <c r="E106" s="336">
        <v>25</v>
      </c>
      <c r="F106" s="330">
        <v>30</v>
      </c>
      <c r="G106" s="330">
        <v>30</v>
      </c>
      <c r="H106" s="330"/>
      <c r="I106" s="337" t="s">
        <v>823</v>
      </c>
      <c r="J106" s="331">
        <f t="shared" si="2"/>
        <v>60</v>
      </c>
    </row>
    <row r="107" spans="1:11" ht="51">
      <c r="A107" s="312" t="s">
        <v>36</v>
      </c>
      <c r="B107" s="341" t="s">
        <v>616</v>
      </c>
      <c r="C107" s="334" t="s">
        <v>850</v>
      </c>
      <c r="D107" s="342" t="s">
        <v>78</v>
      </c>
      <c r="E107" s="336">
        <v>34</v>
      </c>
      <c r="F107" s="330">
        <v>30</v>
      </c>
      <c r="G107" s="330">
        <v>30</v>
      </c>
      <c r="H107" s="330"/>
      <c r="I107" s="337" t="s">
        <v>823</v>
      </c>
      <c r="J107" s="331">
        <f t="shared" si="2"/>
        <v>60</v>
      </c>
    </row>
    <row r="108" spans="1:11" ht="54" customHeight="1">
      <c r="A108" s="312" t="s">
        <v>36</v>
      </c>
      <c r="B108" s="341" t="s">
        <v>891</v>
      </c>
      <c r="C108" s="350" t="s">
        <v>851</v>
      </c>
      <c r="D108" s="342" t="s">
        <v>890</v>
      </c>
      <c r="E108" s="336" t="s">
        <v>881</v>
      </c>
      <c r="F108" s="330">
        <v>30</v>
      </c>
      <c r="G108" s="330">
        <v>30</v>
      </c>
      <c r="H108" s="330">
        <v>0</v>
      </c>
      <c r="I108" s="337" t="s">
        <v>821</v>
      </c>
      <c r="J108" s="331">
        <f t="shared" si="2"/>
        <v>60</v>
      </c>
    </row>
    <row r="109" spans="1:11" ht="51">
      <c r="A109" s="312" t="s">
        <v>36</v>
      </c>
      <c r="B109" s="341" t="s">
        <v>901</v>
      </c>
      <c r="C109" s="350" t="s">
        <v>851</v>
      </c>
      <c r="D109" s="342" t="s">
        <v>890</v>
      </c>
      <c r="E109" s="336">
        <v>34</v>
      </c>
      <c r="F109" s="330">
        <v>30</v>
      </c>
      <c r="G109" s="330">
        <v>30</v>
      </c>
      <c r="H109" s="330"/>
      <c r="I109" s="337" t="s">
        <v>902</v>
      </c>
      <c r="J109" s="331">
        <f>F109+G109+H109</f>
        <v>60</v>
      </c>
    </row>
    <row r="110" spans="1:11" ht="51">
      <c r="A110" s="312" t="s">
        <v>36</v>
      </c>
      <c r="B110" s="341" t="s">
        <v>567</v>
      </c>
      <c r="C110" s="350" t="s">
        <v>852</v>
      </c>
      <c r="D110" s="342" t="s">
        <v>449</v>
      </c>
      <c r="E110" s="336" t="s">
        <v>881</v>
      </c>
      <c r="F110" s="330">
        <v>15</v>
      </c>
      <c r="G110" s="330">
        <v>30</v>
      </c>
      <c r="H110" s="330"/>
      <c r="I110" s="337" t="s">
        <v>878</v>
      </c>
      <c r="J110" s="331">
        <f t="shared" si="2"/>
        <v>45</v>
      </c>
    </row>
    <row r="111" spans="1:11" ht="61.5" customHeight="1">
      <c r="A111" s="312" t="s">
        <v>36</v>
      </c>
      <c r="B111" s="341" t="s">
        <v>569</v>
      </c>
      <c r="C111" s="350" t="s">
        <v>852</v>
      </c>
      <c r="D111" s="342" t="s">
        <v>449</v>
      </c>
      <c r="E111" s="336" t="s">
        <v>570</v>
      </c>
      <c r="F111" s="330">
        <v>15</v>
      </c>
      <c r="G111" s="330">
        <v>30</v>
      </c>
      <c r="H111" s="330"/>
      <c r="I111" s="337" t="s">
        <v>819</v>
      </c>
      <c r="J111" s="331">
        <f t="shared" si="2"/>
        <v>45</v>
      </c>
    </row>
    <row r="112" spans="1:11" ht="51">
      <c r="A112" s="312" t="s">
        <v>36</v>
      </c>
      <c r="B112" s="334" t="s">
        <v>619</v>
      </c>
      <c r="C112" s="334" t="s">
        <v>853</v>
      </c>
      <c r="D112" s="335" t="s">
        <v>79</v>
      </c>
      <c r="E112" s="336">
        <v>40</v>
      </c>
      <c r="F112" s="330">
        <v>30</v>
      </c>
      <c r="G112" s="330">
        <v>30</v>
      </c>
      <c r="H112" s="330"/>
      <c r="I112" s="337" t="s">
        <v>821</v>
      </c>
      <c r="J112" s="331">
        <f t="shared" si="2"/>
        <v>60</v>
      </c>
    </row>
    <row r="113" spans="1:11" ht="51">
      <c r="A113" s="312" t="s">
        <v>36</v>
      </c>
      <c r="B113" s="334" t="s">
        <v>620</v>
      </c>
      <c r="C113" s="334" t="s">
        <v>853</v>
      </c>
      <c r="D113" s="335" t="s">
        <v>79</v>
      </c>
      <c r="E113" s="336">
        <v>29</v>
      </c>
      <c r="F113" s="330">
        <v>30</v>
      </c>
      <c r="G113" s="330">
        <v>30</v>
      </c>
      <c r="H113" s="330"/>
      <c r="I113" s="337" t="s">
        <v>879</v>
      </c>
      <c r="J113" s="331">
        <f t="shared" si="2"/>
        <v>60</v>
      </c>
    </row>
    <row r="114" spans="1:11">
      <c r="A114" s="312" t="s">
        <v>36</v>
      </c>
      <c r="B114" s="334" t="s">
        <v>481</v>
      </c>
      <c r="C114" s="370" t="s">
        <v>646</v>
      </c>
      <c r="D114" s="340" t="s">
        <v>100</v>
      </c>
      <c r="E114" s="336">
        <v>29</v>
      </c>
      <c r="F114" s="330">
        <v>30</v>
      </c>
      <c r="G114" s="330">
        <v>30</v>
      </c>
      <c r="H114" s="330"/>
      <c r="I114" s="337" t="s">
        <v>878</v>
      </c>
      <c r="J114" s="337">
        <v>60</v>
      </c>
    </row>
    <row r="115" spans="1:11">
      <c r="A115" s="312" t="s">
        <v>36</v>
      </c>
      <c r="B115" s="334" t="s">
        <v>483</v>
      </c>
      <c r="C115" s="370" t="s">
        <v>646</v>
      </c>
      <c r="D115" s="340" t="s">
        <v>100</v>
      </c>
      <c r="E115" s="336">
        <v>31</v>
      </c>
      <c r="F115" s="330">
        <v>30</v>
      </c>
      <c r="G115" s="330">
        <v>30</v>
      </c>
      <c r="H115" s="330"/>
      <c r="I115" s="337" t="s">
        <v>819</v>
      </c>
      <c r="J115" s="337">
        <v>60</v>
      </c>
    </row>
    <row r="116" spans="1:11" ht="63.75">
      <c r="A116" s="312" t="s">
        <v>36</v>
      </c>
      <c r="B116" s="334" t="s">
        <v>481</v>
      </c>
      <c r="C116" s="334" t="s">
        <v>647</v>
      </c>
      <c r="D116" s="340" t="s">
        <v>100</v>
      </c>
      <c r="E116" s="336">
        <v>29</v>
      </c>
      <c r="F116" s="330">
        <v>30</v>
      </c>
      <c r="G116" s="330">
        <v>30</v>
      </c>
      <c r="H116" s="330"/>
      <c r="I116" s="337" t="s">
        <v>818</v>
      </c>
      <c r="J116" s="337">
        <v>60</v>
      </c>
    </row>
    <row r="117" spans="1:11" ht="63.75">
      <c r="A117" s="312" t="s">
        <v>36</v>
      </c>
      <c r="B117" s="334" t="s">
        <v>483</v>
      </c>
      <c r="C117" s="334" t="s">
        <v>647</v>
      </c>
      <c r="D117" s="340" t="s">
        <v>100</v>
      </c>
      <c r="E117" s="336">
        <v>21</v>
      </c>
      <c r="F117" s="330">
        <v>30</v>
      </c>
      <c r="G117" s="330">
        <v>30</v>
      </c>
      <c r="H117" s="330"/>
      <c r="I117" s="337" t="s">
        <v>829</v>
      </c>
      <c r="J117" s="337">
        <v>60</v>
      </c>
    </row>
    <row r="118" spans="1:11" ht="38.25">
      <c r="A118" s="312" t="s">
        <v>36</v>
      </c>
      <c r="B118" s="334" t="s">
        <v>481</v>
      </c>
      <c r="C118" s="346" t="s">
        <v>854</v>
      </c>
      <c r="D118" s="340" t="s">
        <v>100</v>
      </c>
      <c r="E118" s="336">
        <v>29</v>
      </c>
      <c r="F118" s="330">
        <v>30</v>
      </c>
      <c r="G118" s="330">
        <v>30</v>
      </c>
      <c r="H118" s="330"/>
      <c r="I118" s="337" t="s">
        <v>822</v>
      </c>
      <c r="J118" s="331">
        <f t="shared" ref="J118:J124" si="3">F118+G118+H118</f>
        <v>60</v>
      </c>
    </row>
    <row r="119" spans="1:11" ht="38.25">
      <c r="A119" s="312" t="s">
        <v>36</v>
      </c>
      <c r="B119" s="334" t="s">
        <v>483</v>
      </c>
      <c r="C119" s="346" t="s">
        <v>854</v>
      </c>
      <c r="D119" s="340" t="s">
        <v>100</v>
      </c>
      <c r="E119" s="336">
        <v>21</v>
      </c>
      <c r="F119" s="330">
        <v>30</v>
      </c>
      <c r="G119" s="330">
        <v>30</v>
      </c>
      <c r="H119" s="330"/>
      <c r="I119" s="337" t="s">
        <v>902</v>
      </c>
      <c r="J119" s="331">
        <f t="shared" si="3"/>
        <v>60</v>
      </c>
    </row>
    <row r="120" spans="1:11" ht="38.25">
      <c r="A120" s="312" t="s">
        <v>36</v>
      </c>
      <c r="B120" s="334" t="s">
        <v>481</v>
      </c>
      <c r="C120" s="359" t="s">
        <v>855</v>
      </c>
      <c r="D120" s="340" t="s">
        <v>100</v>
      </c>
      <c r="E120" s="336">
        <v>29</v>
      </c>
      <c r="F120" s="330">
        <v>30</v>
      </c>
      <c r="G120" s="330">
        <v>30</v>
      </c>
      <c r="H120" s="330"/>
      <c r="I120" s="337" t="s">
        <v>823</v>
      </c>
      <c r="J120" s="331">
        <f t="shared" si="3"/>
        <v>60</v>
      </c>
    </row>
    <row r="121" spans="1:11" ht="38.25">
      <c r="A121" s="312" t="s">
        <v>36</v>
      </c>
      <c r="B121" s="334" t="s">
        <v>483</v>
      </c>
      <c r="C121" s="327" t="s">
        <v>856</v>
      </c>
      <c r="D121" s="340" t="s">
        <v>100</v>
      </c>
      <c r="E121" s="336">
        <v>21</v>
      </c>
      <c r="F121" s="330">
        <v>30</v>
      </c>
      <c r="G121" s="330">
        <v>30</v>
      </c>
      <c r="H121" s="330"/>
      <c r="I121" s="337" t="s">
        <v>817</v>
      </c>
      <c r="J121" s="331">
        <f t="shared" si="3"/>
        <v>60</v>
      </c>
    </row>
    <row r="122" spans="1:11" ht="63.75">
      <c r="A122" s="312" t="s">
        <v>36</v>
      </c>
      <c r="B122" s="334" t="s">
        <v>481</v>
      </c>
      <c r="C122" s="350" t="s">
        <v>857</v>
      </c>
      <c r="D122" s="340" t="s">
        <v>100</v>
      </c>
      <c r="E122" s="336">
        <v>29</v>
      </c>
      <c r="F122" s="330">
        <v>30</v>
      </c>
      <c r="G122" s="330">
        <v>30</v>
      </c>
      <c r="H122" s="330"/>
      <c r="I122" s="337" t="s">
        <v>824</v>
      </c>
      <c r="J122" s="331">
        <f t="shared" si="3"/>
        <v>60</v>
      </c>
    </row>
    <row r="123" spans="1:11" ht="63.75">
      <c r="A123" s="312" t="s">
        <v>36</v>
      </c>
      <c r="B123" s="334" t="s">
        <v>483</v>
      </c>
      <c r="C123" s="350" t="s">
        <v>857</v>
      </c>
      <c r="D123" s="340" t="s">
        <v>100</v>
      </c>
      <c r="E123" s="336">
        <v>21</v>
      </c>
      <c r="F123" s="330">
        <v>30</v>
      </c>
      <c r="G123" s="330">
        <v>30</v>
      </c>
      <c r="H123" s="330"/>
      <c r="I123" s="337" t="s">
        <v>819</v>
      </c>
      <c r="J123" s="331">
        <f t="shared" si="3"/>
        <v>60</v>
      </c>
    </row>
    <row r="124" spans="1:11" ht="25.5">
      <c r="A124" s="312" t="s">
        <v>36</v>
      </c>
      <c r="B124" s="334" t="s">
        <v>491</v>
      </c>
      <c r="C124" s="358" t="s">
        <v>644</v>
      </c>
      <c r="D124" s="335" t="s">
        <v>93</v>
      </c>
      <c r="E124" s="336">
        <v>25</v>
      </c>
      <c r="F124" s="330">
        <v>45</v>
      </c>
      <c r="G124" s="330">
        <v>30</v>
      </c>
      <c r="H124" s="330"/>
      <c r="I124" s="337" t="s">
        <v>825</v>
      </c>
      <c r="J124" s="331">
        <f t="shared" si="3"/>
        <v>75</v>
      </c>
      <c r="K124" s="379"/>
    </row>
    <row r="125" spans="1:11">
      <c r="A125" s="312" t="s">
        <v>36</v>
      </c>
      <c r="B125" s="334" t="s">
        <v>579</v>
      </c>
      <c r="C125" s="328" t="s">
        <v>658</v>
      </c>
      <c r="D125" s="342" t="s">
        <v>78</v>
      </c>
      <c r="E125" s="336">
        <v>27</v>
      </c>
      <c r="F125" s="330">
        <v>45</v>
      </c>
      <c r="G125" s="330">
        <v>45</v>
      </c>
      <c r="H125" s="330"/>
      <c r="I125" s="337" t="s">
        <v>829</v>
      </c>
      <c r="J125" s="337">
        <v>90</v>
      </c>
    </row>
    <row r="126" spans="1:11">
      <c r="A126" s="312" t="s">
        <v>36</v>
      </c>
      <c r="B126" s="334" t="s">
        <v>496</v>
      </c>
      <c r="C126" s="328" t="s">
        <v>658</v>
      </c>
      <c r="D126" s="342" t="s">
        <v>78</v>
      </c>
      <c r="E126" s="336">
        <v>25</v>
      </c>
      <c r="F126" s="330">
        <v>45</v>
      </c>
      <c r="G126" s="330">
        <v>45</v>
      </c>
      <c r="H126" s="330"/>
      <c r="I126" s="337" t="s">
        <v>829</v>
      </c>
      <c r="J126" s="337">
        <v>90</v>
      </c>
    </row>
    <row r="127" spans="1:11" ht="63.75">
      <c r="A127" s="312" t="s">
        <v>36</v>
      </c>
      <c r="B127" s="334" t="s">
        <v>622</v>
      </c>
      <c r="C127" s="328" t="s">
        <v>858</v>
      </c>
      <c r="D127" s="355" t="s">
        <v>449</v>
      </c>
      <c r="E127" s="336" t="s">
        <v>624</v>
      </c>
      <c r="F127" s="330">
        <v>30</v>
      </c>
      <c r="G127" s="357">
        <v>30</v>
      </c>
      <c r="H127" s="357"/>
      <c r="I127" s="331" t="s">
        <v>823</v>
      </c>
      <c r="J127" s="331">
        <f>F127+G127+H127</f>
        <v>60</v>
      </c>
    </row>
    <row r="128" spans="1:11" ht="25.5">
      <c r="A128" s="312" t="s">
        <v>36</v>
      </c>
      <c r="B128" s="334" t="s">
        <v>498</v>
      </c>
      <c r="C128" s="328" t="s">
        <v>643</v>
      </c>
      <c r="D128" s="335" t="s">
        <v>457</v>
      </c>
      <c r="E128" s="336">
        <v>30</v>
      </c>
      <c r="F128" s="330">
        <v>30</v>
      </c>
      <c r="G128" s="330">
        <v>30</v>
      </c>
      <c r="H128" s="330"/>
      <c r="I128" s="337" t="s">
        <v>817</v>
      </c>
      <c r="J128" s="337">
        <v>60</v>
      </c>
    </row>
    <row r="129" spans="1:10">
      <c r="A129" s="312" t="s">
        <v>36</v>
      </c>
      <c r="B129" s="334" t="s">
        <v>498</v>
      </c>
      <c r="C129" s="371" t="s">
        <v>642</v>
      </c>
      <c r="D129" s="335" t="s">
        <v>457</v>
      </c>
      <c r="E129" s="336">
        <v>30</v>
      </c>
      <c r="F129" s="330">
        <v>30</v>
      </c>
      <c r="G129" s="330">
        <v>15</v>
      </c>
      <c r="H129" s="330"/>
      <c r="I129" s="337" t="s">
        <v>878</v>
      </c>
      <c r="J129" s="337">
        <v>45</v>
      </c>
    </row>
    <row r="130" spans="1:10">
      <c r="A130" s="312" t="s">
        <v>36</v>
      </c>
      <c r="B130" s="334" t="s">
        <v>498</v>
      </c>
      <c r="C130" s="371" t="s">
        <v>634</v>
      </c>
      <c r="D130" s="335" t="s">
        <v>457</v>
      </c>
      <c r="E130" s="336">
        <v>30</v>
      </c>
      <c r="F130" s="330">
        <v>30</v>
      </c>
      <c r="G130" s="330">
        <v>15</v>
      </c>
      <c r="H130" s="330"/>
      <c r="I130" s="337" t="s">
        <v>821</v>
      </c>
      <c r="J130" s="337">
        <v>45</v>
      </c>
    </row>
    <row r="131" spans="1:10" ht="76.5">
      <c r="A131" s="312" t="s">
        <v>36</v>
      </c>
      <c r="B131" s="334" t="s">
        <v>498</v>
      </c>
      <c r="C131" s="327" t="s">
        <v>859</v>
      </c>
      <c r="D131" s="335" t="s">
        <v>457</v>
      </c>
      <c r="E131" s="336">
        <v>30</v>
      </c>
      <c r="F131" s="330">
        <v>30</v>
      </c>
      <c r="G131" s="330">
        <v>30</v>
      </c>
      <c r="H131" s="330"/>
      <c r="I131" s="337" t="s">
        <v>825</v>
      </c>
      <c r="J131" s="337">
        <v>60</v>
      </c>
    </row>
    <row r="132" spans="1:10" ht="38.25">
      <c r="A132" s="312" t="s">
        <v>36</v>
      </c>
      <c r="B132" s="334" t="s">
        <v>498</v>
      </c>
      <c r="C132" s="327" t="s">
        <v>860</v>
      </c>
      <c r="D132" s="335" t="s">
        <v>457</v>
      </c>
      <c r="E132" s="336">
        <v>30</v>
      </c>
      <c r="F132" s="330"/>
      <c r="G132" s="330">
        <v>30</v>
      </c>
      <c r="H132" s="330"/>
      <c r="I132" s="337" t="s">
        <v>823</v>
      </c>
      <c r="J132" s="337">
        <v>30</v>
      </c>
    </row>
    <row r="133" spans="1:10">
      <c r="A133" s="312" t="s">
        <v>36</v>
      </c>
      <c r="B133" s="347" t="s">
        <v>580</v>
      </c>
      <c r="C133" s="328" t="s">
        <v>645</v>
      </c>
      <c r="D133" s="335" t="s">
        <v>79</v>
      </c>
      <c r="E133" s="336">
        <v>21</v>
      </c>
      <c r="F133" s="330">
        <v>45</v>
      </c>
      <c r="G133" s="330">
        <v>45</v>
      </c>
      <c r="H133" s="330"/>
      <c r="I133" s="337" t="s">
        <v>818</v>
      </c>
      <c r="J133" s="337">
        <v>90</v>
      </c>
    </row>
    <row r="134" spans="1:10">
      <c r="A134" s="312" t="s">
        <v>36</v>
      </c>
      <c r="B134" s="347" t="s">
        <v>582</v>
      </c>
      <c r="C134" s="328" t="s">
        <v>645</v>
      </c>
      <c r="D134" s="335" t="s">
        <v>79</v>
      </c>
      <c r="E134" s="336">
        <v>18</v>
      </c>
      <c r="F134" s="330">
        <v>45</v>
      </c>
      <c r="G134" s="330">
        <v>45</v>
      </c>
      <c r="H134" s="330"/>
      <c r="I134" s="337" t="s">
        <v>876</v>
      </c>
      <c r="J134" s="337">
        <v>90</v>
      </c>
    </row>
    <row r="135" spans="1:10" ht="38.25">
      <c r="A135" s="312" t="s">
        <v>36</v>
      </c>
      <c r="B135" s="347" t="s">
        <v>625</v>
      </c>
      <c r="C135" s="328" t="s">
        <v>861</v>
      </c>
      <c r="D135" s="335" t="s">
        <v>449</v>
      </c>
      <c r="E135" s="336" t="s">
        <v>626</v>
      </c>
      <c r="F135" s="330">
        <v>30</v>
      </c>
      <c r="G135" s="330">
        <v>15</v>
      </c>
      <c r="H135" s="330"/>
      <c r="I135" s="337" t="s">
        <v>825</v>
      </c>
      <c r="J135" s="331">
        <f>F135+G135+H135</f>
        <v>45</v>
      </c>
    </row>
    <row r="136" spans="1:10" ht="25.5">
      <c r="A136" s="312" t="s">
        <v>36</v>
      </c>
      <c r="B136" s="347" t="s">
        <v>63</v>
      </c>
      <c r="C136" s="328" t="s">
        <v>649</v>
      </c>
      <c r="D136" s="335" t="s">
        <v>64</v>
      </c>
      <c r="E136" s="336">
        <v>19</v>
      </c>
      <c r="F136" s="330">
        <v>30</v>
      </c>
      <c r="G136" s="330">
        <v>30</v>
      </c>
      <c r="H136" s="330"/>
      <c r="I136" s="337" t="s">
        <v>824</v>
      </c>
      <c r="J136" s="337">
        <v>60</v>
      </c>
    </row>
    <row r="137" spans="1:10" ht="25.5">
      <c r="A137" s="312" t="s">
        <v>36</v>
      </c>
      <c r="B137" s="347" t="s">
        <v>65</v>
      </c>
      <c r="C137" s="328" t="s">
        <v>649</v>
      </c>
      <c r="D137" s="335" t="s">
        <v>64</v>
      </c>
      <c r="E137" s="336">
        <v>17</v>
      </c>
      <c r="F137" s="330">
        <v>30</v>
      </c>
      <c r="G137" s="330">
        <v>30</v>
      </c>
      <c r="H137" s="330"/>
      <c r="I137" s="337" t="s">
        <v>876</v>
      </c>
      <c r="J137" s="337">
        <v>60</v>
      </c>
    </row>
    <row r="138" spans="1:10" ht="25.5">
      <c r="A138" s="312" t="s">
        <v>36</v>
      </c>
      <c r="B138" s="347" t="s">
        <v>63</v>
      </c>
      <c r="C138" s="328" t="s">
        <v>650</v>
      </c>
      <c r="D138" s="335" t="s">
        <v>64</v>
      </c>
      <c r="E138" s="336">
        <v>19</v>
      </c>
      <c r="F138" s="330">
        <v>60</v>
      </c>
      <c r="G138" s="330">
        <v>30</v>
      </c>
      <c r="H138" s="330"/>
      <c r="I138" s="337" t="s">
        <v>821</v>
      </c>
      <c r="J138" s="337">
        <v>90</v>
      </c>
    </row>
    <row r="139" spans="1:10" ht="25.5">
      <c r="A139" s="312" t="s">
        <v>36</v>
      </c>
      <c r="B139" s="347" t="s">
        <v>65</v>
      </c>
      <c r="C139" s="328" t="s">
        <v>650</v>
      </c>
      <c r="D139" s="335" t="s">
        <v>64</v>
      </c>
      <c r="E139" s="336">
        <v>17</v>
      </c>
      <c r="F139" s="330">
        <v>60</v>
      </c>
      <c r="G139" s="330">
        <v>30</v>
      </c>
      <c r="H139" s="330"/>
      <c r="I139" s="337" t="s">
        <v>873</v>
      </c>
      <c r="J139" s="337">
        <v>90</v>
      </c>
    </row>
    <row r="140" spans="1:10" ht="38.25">
      <c r="A140" s="312" t="s">
        <v>36</v>
      </c>
      <c r="B140" s="347" t="s">
        <v>63</v>
      </c>
      <c r="C140" s="328" t="s">
        <v>659</v>
      </c>
      <c r="D140" s="335" t="s">
        <v>64</v>
      </c>
      <c r="E140" s="336">
        <v>19</v>
      </c>
      <c r="F140" s="330">
        <v>30</v>
      </c>
      <c r="G140" s="330">
        <v>30</v>
      </c>
      <c r="H140" s="330"/>
      <c r="I140" s="337" t="s">
        <v>824</v>
      </c>
      <c r="J140" s="337">
        <v>60</v>
      </c>
    </row>
    <row r="141" spans="1:10" ht="38.25">
      <c r="A141" s="312" t="s">
        <v>36</v>
      </c>
      <c r="B141" s="347" t="s">
        <v>65</v>
      </c>
      <c r="C141" s="328" t="s">
        <v>659</v>
      </c>
      <c r="D141" s="335" t="s">
        <v>64</v>
      </c>
      <c r="E141" s="336">
        <v>17</v>
      </c>
      <c r="F141" s="330">
        <v>30</v>
      </c>
      <c r="G141" s="330">
        <v>30</v>
      </c>
      <c r="H141" s="330"/>
      <c r="I141" s="337" t="s">
        <v>879</v>
      </c>
      <c r="J141" s="337">
        <v>60</v>
      </c>
    </row>
    <row r="142" spans="1:10" ht="51">
      <c r="A142" s="312" t="s">
        <v>36</v>
      </c>
      <c r="B142" s="347" t="s">
        <v>63</v>
      </c>
      <c r="C142" s="346" t="s">
        <v>862</v>
      </c>
      <c r="D142" s="335" t="s">
        <v>64</v>
      </c>
      <c r="E142" s="336">
        <v>19</v>
      </c>
      <c r="F142" s="330">
        <v>30</v>
      </c>
      <c r="G142" s="357">
        <v>15</v>
      </c>
      <c r="H142" s="357"/>
      <c r="I142" s="331" t="s">
        <v>821</v>
      </c>
      <c r="J142" s="337">
        <v>45</v>
      </c>
    </row>
    <row r="143" spans="1:10" ht="51">
      <c r="A143" s="312" t="s">
        <v>36</v>
      </c>
      <c r="B143" s="347" t="s">
        <v>65</v>
      </c>
      <c r="C143" s="346" t="s">
        <v>863</v>
      </c>
      <c r="D143" s="335" t="s">
        <v>64</v>
      </c>
      <c r="E143" s="336">
        <v>17</v>
      </c>
      <c r="F143" s="330">
        <v>30</v>
      </c>
      <c r="G143" s="330">
        <v>15</v>
      </c>
      <c r="H143" s="330"/>
      <c r="I143" s="337" t="s">
        <v>876</v>
      </c>
      <c r="J143" s="337">
        <v>45</v>
      </c>
    </row>
    <row r="144" spans="1:10" ht="51">
      <c r="A144" s="312" t="s">
        <v>36</v>
      </c>
      <c r="B144" s="347" t="s">
        <v>63</v>
      </c>
      <c r="C144" s="346" t="s">
        <v>864</v>
      </c>
      <c r="D144" s="335" t="s">
        <v>64</v>
      </c>
      <c r="E144" s="336">
        <v>19</v>
      </c>
      <c r="F144" s="330">
        <v>30</v>
      </c>
      <c r="G144" s="330">
        <v>30</v>
      </c>
      <c r="H144" s="357"/>
      <c r="I144" s="331" t="s">
        <v>826</v>
      </c>
      <c r="J144" s="337">
        <v>60</v>
      </c>
    </row>
    <row r="145" spans="1:11" ht="51">
      <c r="A145" s="312" t="s">
        <v>36</v>
      </c>
      <c r="B145" s="347" t="s">
        <v>65</v>
      </c>
      <c r="C145" s="346" t="s">
        <v>864</v>
      </c>
      <c r="D145" s="335" t="s">
        <v>64</v>
      </c>
      <c r="E145" s="336">
        <v>17</v>
      </c>
      <c r="F145" s="330">
        <v>30</v>
      </c>
      <c r="G145" s="330">
        <v>30</v>
      </c>
      <c r="H145" s="357"/>
      <c r="I145" s="331" t="s">
        <v>826</v>
      </c>
      <c r="J145" s="337">
        <v>60</v>
      </c>
    </row>
    <row r="146" spans="1:11" ht="51">
      <c r="A146" s="312" t="s">
        <v>36</v>
      </c>
      <c r="B146" s="343" t="s">
        <v>512</v>
      </c>
      <c r="C146" s="372" t="s">
        <v>865</v>
      </c>
      <c r="D146" s="342" t="s">
        <v>78</v>
      </c>
      <c r="E146" s="336">
        <v>21</v>
      </c>
      <c r="F146" s="330">
        <v>30</v>
      </c>
      <c r="G146" s="330">
        <v>15</v>
      </c>
      <c r="H146" s="330"/>
      <c r="I146" s="337" t="s">
        <v>827</v>
      </c>
      <c r="J146" s="337">
        <v>45</v>
      </c>
    </row>
    <row r="147" spans="1:11" ht="51">
      <c r="A147" s="312" t="s">
        <v>36</v>
      </c>
      <c r="B147" s="343" t="s">
        <v>514</v>
      </c>
      <c r="C147" s="372" t="s">
        <v>865</v>
      </c>
      <c r="D147" s="342" t="s">
        <v>78</v>
      </c>
      <c r="E147" s="336">
        <v>8</v>
      </c>
      <c r="F147" s="330">
        <v>30</v>
      </c>
      <c r="G147" s="330">
        <v>15</v>
      </c>
      <c r="H147" s="330"/>
      <c r="I147" s="337" t="s">
        <v>902</v>
      </c>
      <c r="J147" s="337">
        <v>45</v>
      </c>
    </row>
    <row r="148" spans="1:11" ht="60" customHeight="1">
      <c r="A148" s="312" t="s">
        <v>36</v>
      </c>
      <c r="B148" s="343" t="s">
        <v>894</v>
      </c>
      <c r="C148" s="373" t="s">
        <v>866</v>
      </c>
      <c r="D148" s="342" t="s">
        <v>895</v>
      </c>
      <c r="E148" s="336" t="s">
        <v>896</v>
      </c>
      <c r="F148" s="330">
        <v>30</v>
      </c>
      <c r="G148" s="330">
        <v>30</v>
      </c>
      <c r="H148" s="330"/>
      <c r="I148" s="337" t="s">
        <v>818</v>
      </c>
      <c r="J148" s="337">
        <v>60</v>
      </c>
    </row>
    <row r="149" spans="1:11" ht="54.75" customHeight="1">
      <c r="A149" s="312" t="s">
        <v>36</v>
      </c>
      <c r="B149" s="347" t="s">
        <v>900</v>
      </c>
      <c r="C149" s="328" t="s">
        <v>867</v>
      </c>
      <c r="D149" s="335" t="s">
        <v>897</v>
      </c>
      <c r="E149" s="336" t="s">
        <v>898</v>
      </c>
      <c r="F149" s="330">
        <v>30</v>
      </c>
      <c r="G149" s="357">
        <v>15</v>
      </c>
      <c r="H149" s="357"/>
      <c r="I149" s="331" t="s">
        <v>899</v>
      </c>
      <c r="J149" s="331">
        <f>F149+G149+H149</f>
        <v>45</v>
      </c>
    </row>
    <row r="150" spans="1:11" ht="63.75">
      <c r="A150" s="312" t="s">
        <v>36</v>
      </c>
      <c r="B150" s="328" t="s">
        <v>635</v>
      </c>
      <c r="C150" s="328" t="s">
        <v>846</v>
      </c>
      <c r="D150" s="335" t="s">
        <v>64</v>
      </c>
      <c r="E150" s="336">
        <v>28</v>
      </c>
      <c r="F150" s="357">
        <v>15</v>
      </c>
      <c r="G150" s="357">
        <v>30</v>
      </c>
      <c r="H150" s="357"/>
      <c r="I150" s="331" t="s">
        <v>827</v>
      </c>
      <c r="J150" s="331">
        <f>F150+G150+H150</f>
        <v>45</v>
      </c>
    </row>
    <row r="151" spans="1:11" ht="63.75">
      <c r="A151" s="312" t="s">
        <v>36</v>
      </c>
      <c r="B151" s="328" t="s">
        <v>637</v>
      </c>
      <c r="C151" s="328" t="s">
        <v>846</v>
      </c>
      <c r="D151" s="335" t="s">
        <v>64</v>
      </c>
      <c r="E151" s="336">
        <v>7</v>
      </c>
      <c r="F151" s="357">
        <v>15</v>
      </c>
      <c r="G151" s="357">
        <v>30</v>
      </c>
      <c r="H151" s="357"/>
      <c r="I151" s="331" t="s">
        <v>902</v>
      </c>
      <c r="J151" s="331">
        <f>F151+G151+H151</f>
        <v>45</v>
      </c>
    </row>
    <row r="152" spans="1:11" ht="63.75">
      <c r="A152" s="312" t="s">
        <v>36</v>
      </c>
      <c r="B152" s="328" t="s">
        <v>637</v>
      </c>
      <c r="C152" s="334" t="s">
        <v>868</v>
      </c>
      <c r="D152" s="335" t="s">
        <v>64</v>
      </c>
      <c r="E152" s="336">
        <v>7</v>
      </c>
      <c r="F152" s="345">
        <v>30</v>
      </c>
      <c r="G152" s="345">
        <v>30</v>
      </c>
      <c r="H152" s="345"/>
      <c r="I152" s="337" t="s">
        <v>819</v>
      </c>
      <c r="J152" s="337">
        <v>60</v>
      </c>
    </row>
    <row r="153" spans="1:11" ht="63.75">
      <c r="A153" s="312" t="s">
        <v>36</v>
      </c>
      <c r="B153" s="328" t="s">
        <v>635</v>
      </c>
      <c r="C153" s="328" t="s">
        <v>847</v>
      </c>
      <c r="D153" s="328" t="s">
        <v>64</v>
      </c>
      <c r="E153" s="329">
        <v>28</v>
      </c>
      <c r="F153" s="374">
        <v>30</v>
      </c>
      <c r="G153" s="345">
        <v>30</v>
      </c>
      <c r="H153" s="345"/>
      <c r="I153" s="337" t="s">
        <v>878</v>
      </c>
      <c r="J153" s="337">
        <v>60</v>
      </c>
    </row>
    <row r="154" spans="1:11" ht="38.25">
      <c r="A154" s="312" t="s">
        <v>36</v>
      </c>
      <c r="B154" s="347" t="s">
        <v>661</v>
      </c>
      <c r="C154" s="334" t="s">
        <v>605</v>
      </c>
      <c r="D154" s="335" t="s">
        <v>662</v>
      </c>
      <c r="E154" s="336" t="s">
        <v>663</v>
      </c>
      <c r="F154" s="330">
        <v>15</v>
      </c>
      <c r="G154" s="330">
        <v>15</v>
      </c>
      <c r="H154" s="330"/>
      <c r="I154" s="337" t="s">
        <v>818</v>
      </c>
      <c r="J154" s="337">
        <v>30</v>
      </c>
    </row>
    <row r="155" spans="1:11" ht="38.25">
      <c r="A155" s="312" t="s">
        <v>36</v>
      </c>
      <c r="B155" s="347" t="s">
        <v>666</v>
      </c>
      <c r="C155" s="334" t="s">
        <v>605</v>
      </c>
      <c r="D155" s="335" t="s">
        <v>207</v>
      </c>
      <c r="E155" s="336" t="s">
        <v>667</v>
      </c>
      <c r="F155" s="330">
        <v>15</v>
      </c>
      <c r="G155" s="330">
        <v>30</v>
      </c>
      <c r="H155" s="330"/>
      <c r="I155" s="337" t="s">
        <v>878</v>
      </c>
      <c r="J155" s="337">
        <v>45</v>
      </c>
    </row>
    <row r="156" spans="1:11" ht="38.25">
      <c r="A156" s="312" t="s">
        <v>36</v>
      </c>
      <c r="B156" s="347" t="s">
        <v>664</v>
      </c>
      <c r="C156" s="334" t="s">
        <v>605</v>
      </c>
      <c r="D156" s="335" t="s">
        <v>665</v>
      </c>
      <c r="E156" s="336">
        <v>28</v>
      </c>
      <c r="F156" s="330">
        <v>15</v>
      </c>
      <c r="G156" s="330">
        <v>15</v>
      </c>
      <c r="H156" s="330"/>
      <c r="I156" s="337" t="s">
        <v>829</v>
      </c>
      <c r="J156" s="337">
        <v>30</v>
      </c>
    </row>
    <row r="157" spans="1:11" ht="38.25">
      <c r="A157" s="312" t="s">
        <v>36</v>
      </c>
      <c r="B157" s="347" t="s">
        <v>84</v>
      </c>
      <c r="C157" s="334" t="s">
        <v>605</v>
      </c>
      <c r="D157" s="335" t="s">
        <v>70</v>
      </c>
      <c r="E157" s="336">
        <v>31</v>
      </c>
      <c r="F157" s="330">
        <v>15</v>
      </c>
      <c r="G157" s="330">
        <v>15</v>
      </c>
      <c r="H157" s="330"/>
      <c r="I157" s="337" t="s">
        <v>829</v>
      </c>
      <c r="J157" s="337">
        <v>30</v>
      </c>
    </row>
    <row r="158" spans="1:11" ht="25.5">
      <c r="A158" s="352" t="s">
        <v>36</v>
      </c>
      <c r="B158" s="334" t="s">
        <v>738</v>
      </c>
      <c r="C158" s="334" t="s">
        <v>761</v>
      </c>
      <c r="D158" s="353" t="s">
        <v>735</v>
      </c>
      <c r="E158" s="336">
        <v>10</v>
      </c>
      <c r="F158" s="337">
        <v>30</v>
      </c>
      <c r="G158" s="337">
        <v>15</v>
      </c>
      <c r="H158" s="337"/>
      <c r="I158" s="376" t="s">
        <v>878</v>
      </c>
      <c r="J158" s="330">
        <v>45</v>
      </c>
      <c r="K158" s="379"/>
    </row>
    <row r="159" spans="1:11" ht="51">
      <c r="A159" s="312" t="s">
        <v>36</v>
      </c>
      <c r="B159" s="328" t="s">
        <v>531</v>
      </c>
      <c r="C159" s="372" t="s">
        <v>865</v>
      </c>
      <c r="D159" s="328" t="s">
        <v>78</v>
      </c>
      <c r="E159" s="329">
        <v>7</v>
      </c>
      <c r="F159" s="339">
        <v>10</v>
      </c>
      <c r="G159" s="330">
        <v>5</v>
      </c>
      <c r="H159" s="330"/>
      <c r="I159" s="337" t="s">
        <v>824</v>
      </c>
      <c r="J159" s="331">
        <f>F159+G159+H159</f>
        <v>15</v>
      </c>
    </row>
    <row r="160" spans="1:11" ht="51">
      <c r="A160" s="312" t="s">
        <v>36</v>
      </c>
      <c r="B160" s="328" t="s">
        <v>531</v>
      </c>
      <c r="C160" s="349" t="s">
        <v>869</v>
      </c>
      <c r="D160" s="328" t="s">
        <v>78</v>
      </c>
      <c r="E160" s="329">
        <v>7</v>
      </c>
      <c r="F160" s="339">
        <v>10</v>
      </c>
      <c r="G160" s="357">
        <v>10</v>
      </c>
      <c r="H160" s="357"/>
      <c r="I160" s="331" t="s">
        <v>823</v>
      </c>
      <c r="J160" s="331">
        <f>F160+G160+H160</f>
        <v>20</v>
      </c>
    </row>
    <row r="161" spans="1:10" ht="25.5">
      <c r="A161" s="312" t="s">
        <v>36</v>
      </c>
      <c r="B161" s="334" t="s">
        <v>535</v>
      </c>
      <c r="C161" s="356" t="s">
        <v>643</v>
      </c>
      <c r="D161" s="335" t="s">
        <v>457</v>
      </c>
      <c r="E161" s="336">
        <v>5</v>
      </c>
      <c r="F161" s="357">
        <v>10</v>
      </c>
      <c r="G161" s="357">
        <v>10</v>
      </c>
      <c r="H161" s="357"/>
      <c r="I161" s="331" t="s">
        <v>825</v>
      </c>
      <c r="J161" s="337">
        <v>20</v>
      </c>
    </row>
    <row r="162" spans="1:10" ht="76.5">
      <c r="A162" s="312" t="s">
        <v>36</v>
      </c>
      <c r="B162" s="334" t="s">
        <v>593</v>
      </c>
      <c r="C162" s="327" t="s">
        <v>859</v>
      </c>
      <c r="D162" s="335" t="s">
        <v>457</v>
      </c>
      <c r="E162" s="375">
        <v>10</v>
      </c>
      <c r="F162" s="330">
        <v>10</v>
      </c>
      <c r="G162" s="330">
        <v>10</v>
      </c>
      <c r="H162" s="330"/>
      <c r="I162" s="337" t="s">
        <v>818</v>
      </c>
      <c r="J162" s="337">
        <v>20</v>
      </c>
    </row>
    <row r="163" spans="1:10" ht="38.25">
      <c r="A163" s="312" t="s">
        <v>36</v>
      </c>
      <c r="B163" s="334" t="s">
        <v>593</v>
      </c>
      <c r="C163" s="327" t="s">
        <v>860</v>
      </c>
      <c r="D163" s="335" t="s">
        <v>457</v>
      </c>
      <c r="E163" s="375">
        <v>10</v>
      </c>
      <c r="F163" s="330">
        <v>10</v>
      </c>
      <c r="G163" s="330">
        <v>10</v>
      </c>
      <c r="H163" s="330"/>
      <c r="I163" s="337" t="s">
        <v>826</v>
      </c>
      <c r="J163" s="337">
        <v>20</v>
      </c>
    </row>
    <row r="164" spans="1:10" ht="38.25">
      <c r="A164" s="312" t="s">
        <v>36</v>
      </c>
      <c r="B164" s="334" t="s">
        <v>660</v>
      </c>
      <c r="C164" s="328" t="s">
        <v>870</v>
      </c>
      <c r="D164" s="335" t="s">
        <v>120</v>
      </c>
      <c r="E164" s="375" t="s">
        <v>362</v>
      </c>
      <c r="F164" s="357">
        <v>10</v>
      </c>
      <c r="G164" s="357">
        <v>5</v>
      </c>
      <c r="H164" s="357"/>
      <c r="I164" s="331" t="s">
        <v>818</v>
      </c>
      <c r="J164" s="331">
        <f>F164+G164+H164</f>
        <v>15</v>
      </c>
    </row>
    <row r="165" spans="1:10">
      <c r="A165" s="312" t="s">
        <v>36</v>
      </c>
      <c r="B165" s="334" t="s">
        <v>536</v>
      </c>
      <c r="C165" s="334" t="s">
        <v>623</v>
      </c>
      <c r="D165" s="335" t="s">
        <v>79</v>
      </c>
      <c r="E165" s="336">
        <v>10</v>
      </c>
      <c r="F165" s="357">
        <v>15</v>
      </c>
      <c r="G165" s="357">
        <v>15</v>
      </c>
      <c r="H165" s="357"/>
      <c r="I165" s="331" t="s">
        <v>825</v>
      </c>
      <c r="J165" s="331">
        <f>F165+G165+H165</f>
        <v>30</v>
      </c>
    </row>
    <row r="166" spans="1:10">
      <c r="A166" s="312" t="s">
        <v>36</v>
      </c>
      <c r="B166" s="334" t="s">
        <v>595</v>
      </c>
      <c r="C166" s="328" t="s">
        <v>633</v>
      </c>
      <c r="D166" s="335" t="s">
        <v>79</v>
      </c>
      <c r="E166" s="336">
        <v>5</v>
      </c>
      <c r="F166" s="357">
        <v>15</v>
      </c>
      <c r="G166" s="357">
        <v>10</v>
      </c>
      <c r="H166" s="357"/>
      <c r="I166" s="331" t="s">
        <v>823</v>
      </c>
      <c r="J166" s="331">
        <f>F166+G166+H166</f>
        <v>25</v>
      </c>
    </row>
    <row r="167" spans="1:10" ht="38.25">
      <c r="A167" s="312" t="s">
        <v>36</v>
      </c>
      <c r="B167" s="347" t="s">
        <v>539</v>
      </c>
      <c r="C167" s="334" t="s">
        <v>629</v>
      </c>
      <c r="D167" s="335" t="s">
        <v>64</v>
      </c>
      <c r="E167" s="336">
        <v>9</v>
      </c>
      <c r="F167" s="357">
        <v>10</v>
      </c>
      <c r="G167" s="357">
        <v>10</v>
      </c>
      <c r="H167" s="357"/>
      <c r="I167" s="331" t="s">
        <v>818</v>
      </c>
      <c r="J167" s="337">
        <v>20</v>
      </c>
    </row>
    <row r="168" spans="1:10" ht="25.5">
      <c r="A168" s="312" t="s">
        <v>36</v>
      </c>
      <c r="B168" s="347" t="s">
        <v>539</v>
      </c>
      <c r="C168" s="328" t="s">
        <v>630</v>
      </c>
      <c r="D168" s="335" t="s">
        <v>64</v>
      </c>
      <c r="E168" s="336">
        <v>9</v>
      </c>
      <c r="F168" s="357">
        <v>10</v>
      </c>
      <c r="G168" s="357">
        <v>10</v>
      </c>
      <c r="H168" s="357"/>
      <c r="I168" s="331" t="s">
        <v>827</v>
      </c>
      <c r="J168" s="331">
        <f>F168+G168+H168</f>
        <v>20</v>
      </c>
    </row>
    <row r="169" spans="1:10">
      <c r="A169" s="312" t="s">
        <v>36</v>
      </c>
      <c r="B169" s="347" t="s">
        <v>539</v>
      </c>
      <c r="C169" s="334" t="s">
        <v>631</v>
      </c>
      <c r="D169" s="335" t="s">
        <v>64</v>
      </c>
      <c r="E169" s="336">
        <v>9</v>
      </c>
      <c r="F169" s="357">
        <v>10</v>
      </c>
      <c r="G169" s="357">
        <v>10</v>
      </c>
      <c r="H169" s="357"/>
      <c r="I169" s="331" t="s">
        <v>819</v>
      </c>
      <c r="J169" s="331">
        <f>F169+G169+H169</f>
        <v>20</v>
      </c>
    </row>
    <row r="170" spans="1:10" ht="51">
      <c r="A170" s="312" t="s">
        <v>36</v>
      </c>
      <c r="B170" s="347" t="s">
        <v>539</v>
      </c>
      <c r="C170" s="328" t="s">
        <v>871</v>
      </c>
      <c r="D170" s="335" t="s">
        <v>64</v>
      </c>
      <c r="E170" s="336">
        <v>9</v>
      </c>
      <c r="F170" s="357">
        <v>10</v>
      </c>
      <c r="G170" s="357">
        <v>5</v>
      </c>
      <c r="H170" s="357"/>
      <c r="I170" s="331" t="s">
        <v>823</v>
      </c>
      <c r="J170" s="337">
        <v>15</v>
      </c>
    </row>
    <row r="171" spans="1:10" ht="25.5">
      <c r="A171" s="312" t="s">
        <v>36</v>
      </c>
      <c r="B171" s="347" t="s">
        <v>648</v>
      </c>
      <c r="C171" s="356" t="s">
        <v>636</v>
      </c>
      <c r="D171" s="335" t="s">
        <v>64</v>
      </c>
      <c r="E171" s="336">
        <v>10</v>
      </c>
      <c r="F171" s="357">
        <v>10</v>
      </c>
      <c r="G171" s="357">
        <v>10</v>
      </c>
      <c r="H171" s="357"/>
      <c r="I171" s="331" t="s">
        <v>877</v>
      </c>
      <c r="J171" s="337">
        <v>20</v>
      </c>
    </row>
    <row r="172" spans="1:10" ht="38.25">
      <c r="A172" s="312" t="s">
        <v>36</v>
      </c>
      <c r="B172" s="347" t="s">
        <v>648</v>
      </c>
      <c r="C172" s="328" t="s">
        <v>659</v>
      </c>
      <c r="D172" s="335" t="s">
        <v>64</v>
      </c>
      <c r="E172" s="336">
        <v>10</v>
      </c>
      <c r="F172" s="357">
        <v>10</v>
      </c>
      <c r="G172" s="357">
        <v>10</v>
      </c>
      <c r="H172" s="357"/>
      <c r="I172" s="331" t="s">
        <v>878</v>
      </c>
      <c r="J172" s="337">
        <v>20</v>
      </c>
    </row>
    <row r="173" spans="1:10" ht="63.75">
      <c r="A173" s="312" t="s">
        <v>36</v>
      </c>
      <c r="B173" s="347" t="s">
        <v>648</v>
      </c>
      <c r="C173" s="350" t="s">
        <v>872</v>
      </c>
      <c r="D173" s="335" t="s">
        <v>64</v>
      </c>
      <c r="E173" s="336">
        <v>10</v>
      </c>
      <c r="F173" s="357">
        <v>10</v>
      </c>
      <c r="G173" s="357">
        <v>10</v>
      </c>
      <c r="H173" s="357"/>
      <c r="I173" s="331" t="s">
        <v>827</v>
      </c>
      <c r="J173" s="337">
        <v>20</v>
      </c>
    </row>
    <row r="174" spans="1:10" ht="38.25">
      <c r="A174" s="312" t="s">
        <v>36</v>
      </c>
      <c r="B174" s="347" t="s">
        <v>648</v>
      </c>
      <c r="C174" s="334" t="s">
        <v>639</v>
      </c>
      <c r="D174" s="335" t="s">
        <v>64</v>
      </c>
      <c r="E174" s="336">
        <v>10</v>
      </c>
      <c r="F174" s="330">
        <v>10</v>
      </c>
      <c r="G174" s="330">
        <v>10</v>
      </c>
      <c r="H174" s="330"/>
      <c r="I174" s="337" t="s">
        <v>827</v>
      </c>
      <c r="J174" s="337">
        <v>20</v>
      </c>
    </row>
    <row r="175" spans="1:10" ht="51">
      <c r="A175" s="312" t="s">
        <v>36</v>
      </c>
      <c r="B175" s="347" t="s">
        <v>648</v>
      </c>
      <c r="C175" s="334" t="s">
        <v>840</v>
      </c>
      <c r="D175" s="335" t="s">
        <v>64</v>
      </c>
      <c r="E175" s="336">
        <v>10</v>
      </c>
      <c r="F175" s="330">
        <v>10</v>
      </c>
      <c r="G175" s="330">
        <v>5</v>
      </c>
      <c r="H175" s="330"/>
      <c r="I175" s="337" t="s">
        <v>829</v>
      </c>
      <c r="J175" s="337">
        <v>15</v>
      </c>
    </row>
    <row r="176" spans="1:10" hidden="1">
      <c r="A176" s="312" t="s">
        <v>27</v>
      </c>
      <c r="B176" s="343" t="s">
        <v>477</v>
      </c>
      <c r="C176" s="334" t="s">
        <v>39</v>
      </c>
      <c r="D176" s="335" t="s">
        <v>457</v>
      </c>
      <c r="E176" s="336">
        <v>13</v>
      </c>
      <c r="F176" s="330"/>
      <c r="G176" s="330"/>
      <c r="H176" s="330"/>
      <c r="I176" s="337" t="s">
        <v>821</v>
      </c>
      <c r="J176" s="337">
        <v>30</v>
      </c>
    </row>
    <row r="177" spans="1:10" hidden="1">
      <c r="A177" s="312" t="s">
        <v>27</v>
      </c>
      <c r="B177" s="334" t="s">
        <v>479</v>
      </c>
      <c r="C177" s="334" t="s">
        <v>39</v>
      </c>
      <c r="D177" s="335" t="s">
        <v>457</v>
      </c>
      <c r="E177" s="336">
        <v>8</v>
      </c>
      <c r="F177" s="330"/>
      <c r="G177" s="330"/>
      <c r="H177" s="330"/>
      <c r="I177" s="337" t="s">
        <v>819</v>
      </c>
      <c r="J177" s="337">
        <v>30</v>
      </c>
    </row>
    <row r="178" spans="1:10" hidden="1">
      <c r="A178" s="312" t="s">
        <v>27</v>
      </c>
      <c r="B178" s="334" t="s">
        <v>481</v>
      </c>
      <c r="C178" s="334" t="s">
        <v>39</v>
      </c>
      <c r="D178" s="340" t="s">
        <v>100</v>
      </c>
      <c r="E178" s="336">
        <v>29</v>
      </c>
      <c r="F178" s="357"/>
      <c r="G178" s="357"/>
      <c r="H178" s="357"/>
      <c r="I178" s="337" t="s">
        <v>902</v>
      </c>
      <c r="J178" s="337">
        <v>30</v>
      </c>
    </row>
    <row r="179" spans="1:10" hidden="1">
      <c r="A179" s="312" t="s">
        <v>27</v>
      </c>
      <c r="B179" s="334" t="s">
        <v>483</v>
      </c>
      <c r="C179" s="334" t="s">
        <v>39</v>
      </c>
      <c r="D179" s="340" t="s">
        <v>100</v>
      </c>
      <c r="E179" s="336">
        <v>21</v>
      </c>
      <c r="F179" s="357"/>
      <c r="G179" s="357"/>
      <c r="H179" s="357"/>
      <c r="I179" s="331" t="s">
        <v>823</v>
      </c>
      <c r="J179" s="337">
        <v>30</v>
      </c>
    </row>
    <row r="180" spans="1:10" hidden="1">
      <c r="A180" s="312" t="s">
        <v>27</v>
      </c>
      <c r="B180" s="334" t="s">
        <v>498</v>
      </c>
      <c r="C180" s="334" t="s">
        <v>39</v>
      </c>
      <c r="D180" s="335" t="s">
        <v>457</v>
      </c>
      <c r="E180" s="336">
        <v>30</v>
      </c>
      <c r="F180" s="357"/>
      <c r="G180" s="357"/>
      <c r="H180" s="357"/>
      <c r="I180" s="337" t="s">
        <v>829</v>
      </c>
      <c r="J180" s="337">
        <v>30</v>
      </c>
    </row>
    <row r="181" spans="1:10" hidden="1">
      <c r="A181" s="312" t="s">
        <v>27</v>
      </c>
      <c r="B181" s="347" t="s">
        <v>63</v>
      </c>
      <c r="C181" s="334" t="s">
        <v>39</v>
      </c>
      <c r="D181" s="335" t="s">
        <v>64</v>
      </c>
      <c r="E181" s="336">
        <v>19</v>
      </c>
      <c r="F181" s="357"/>
      <c r="G181" s="357"/>
      <c r="H181" s="357"/>
      <c r="I181" s="337" t="s">
        <v>878</v>
      </c>
      <c r="J181" s="337">
        <v>30</v>
      </c>
    </row>
    <row r="182" spans="1:10" hidden="1">
      <c r="A182" s="312" t="s">
        <v>27</v>
      </c>
      <c r="B182" s="347" t="s">
        <v>65</v>
      </c>
      <c r="C182" s="334" t="s">
        <v>39</v>
      </c>
      <c r="D182" s="335" t="s">
        <v>64</v>
      </c>
      <c r="E182" s="336">
        <v>17</v>
      </c>
      <c r="F182" s="357"/>
      <c r="G182" s="357"/>
      <c r="H182" s="357"/>
      <c r="I182" s="331" t="s">
        <v>823</v>
      </c>
      <c r="J182" s="337">
        <v>30</v>
      </c>
    </row>
    <row r="183" spans="1:10" ht="25.5">
      <c r="A183" s="312" t="s">
        <v>36</v>
      </c>
      <c r="B183" s="347" t="s">
        <v>814</v>
      </c>
      <c r="C183" s="334" t="s">
        <v>39</v>
      </c>
      <c r="D183" s="335" t="s">
        <v>457</v>
      </c>
      <c r="E183" s="336" t="s">
        <v>816</v>
      </c>
      <c r="F183" s="357"/>
      <c r="G183" s="357"/>
      <c r="H183" s="357"/>
      <c r="I183" s="337" t="s">
        <v>818</v>
      </c>
      <c r="J183" s="337">
        <v>30</v>
      </c>
    </row>
    <row r="184" spans="1:10" ht="25.5">
      <c r="A184" s="312" t="s">
        <v>36</v>
      </c>
      <c r="B184" s="347" t="s">
        <v>815</v>
      </c>
      <c r="C184" s="334" t="s">
        <v>39</v>
      </c>
      <c r="D184" s="335" t="s">
        <v>457</v>
      </c>
      <c r="E184" s="336" t="s">
        <v>69</v>
      </c>
      <c r="F184" s="357"/>
      <c r="G184" s="357"/>
      <c r="H184" s="357"/>
      <c r="I184" s="331" t="s">
        <v>904</v>
      </c>
      <c r="J184" s="337">
        <v>30</v>
      </c>
    </row>
    <row r="185" spans="1:10">
      <c r="A185" s="312" t="s">
        <v>36</v>
      </c>
      <c r="B185" s="334" t="s">
        <v>653</v>
      </c>
      <c r="C185" s="334" t="s">
        <v>39</v>
      </c>
      <c r="D185" s="335" t="s">
        <v>64</v>
      </c>
      <c r="E185" s="336">
        <v>9</v>
      </c>
      <c r="F185" s="357"/>
      <c r="G185" s="357"/>
      <c r="H185" s="357"/>
      <c r="I185" s="337" t="s">
        <v>818</v>
      </c>
      <c r="J185" s="337">
        <v>30</v>
      </c>
    </row>
    <row r="186" spans="1:10" ht="24.75" customHeight="1">
      <c r="J186" s="1">
        <f>SUBTOTAL(9,J11:J185)</f>
        <v>3905</v>
      </c>
    </row>
    <row r="187" spans="1:10" ht="13.5" thickBot="1"/>
    <row r="188" spans="1:10" ht="15.75">
      <c r="A188" s="396" t="s">
        <v>41</v>
      </c>
      <c r="B188" s="397"/>
      <c r="C188" s="398"/>
      <c r="D188" s="49" t="s">
        <v>21</v>
      </c>
    </row>
    <row r="189" spans="1:10" ht="23.25" customHeight="1">
      <c r="A189" s="399" t="s">
        <v>42</v>
      </c>
      <c r="B189" s="400"/>
      <c r="C189" s="401"/>
      <c r="D189" s="80">
        <v>4720</v>
      </c>
    </row>
    <row r="190" spans="1:10" ht="23.25" customHeight="1">
      <c r="A190" s="402" t="s">
        <v>43</v>
      </c>
      <c r="B190" s="403"/>
      <c r="C190" s="404"/>
      <c r="D190" s="81">
        <v>3905</v>
      </c>
    </row>
    <row r="191" spans="1:10" ht="23.25" customHeight="1">
      <c r="A191" s="405" t="s">
        <v>44</v>
      </c>
      <c r="B191" s="406"/>
      <c r="C191" s="407"/>
      <c r="D191" s="82">
        <v>8625</v>
      </c>
    </row>
  </sheetData>
  <autoFilter ref="A10:J185" xr:uid="{44C87033-8799-4D37-A972-E16F822FA317}">
    <filterColumn colId="0">
      <filters>
        <filter val="YAZ"/>
      </filters>
    </filterColumn>
  </autoFilter>
  <mergeCells count="4">
    <mergeCell ref="A188:C188"/>
    <mergeCell ref="A189:C189"/>
    <mergeCell ref="A190:C190"/>
    <mergeCell ref="A191:C191"/>
  </mergeCells>
  <pageMargins left="0.39370078740157499" right="0" top="0.15748031496063" bottom="0.15748031496063" header="0.31496062992126" footer="0.31496062992126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71"/>
  <sheetViews>
    <sheetView topLeftCell="A92" workbookViewId="0">
      <selection activeCell="A126" sqref="A126:U165"/>
    </sheetView>
  </sheetViews>
  <sheetFormatPr defaultColWidth="9.140625" defaultRowHeight="12.75"/>
  <cols>
    <col min="1" max="1" width="7.7109375" style="7" customWidth="1"/>
    <col min="2" max="2" width="10.28515625" style="4" customWidth="1"/>
    <col min="3" max="3" width="28.42578125" style="4" customWidth="1"/>
    <col min="4" max="4" width="11.85546875" style="4" customWidth="1"/>
    <col min="5" max="15" width="4.7109375" style="1" customWidth="1"/>
    <col min="16" max="20" width="5.7109375" style="1" customWidth="1"/>
    <col min="21" max="21" width="4.7109375" style="1" customWidth="1"/>
    <col min="22" max="16384" width="9.140625" style="4"/>
  </cols>
  <sheetData>
    <row r="1" spans="1:21">
      <c r="B1" s="5" t="s">
        <v>0</v>
      </c>
      <c r="C1" s="6"/>
    </row>
    <row r="2" spans="1:21">
      <c r="B2" s="5" t="s">
        <v>1</v>
      </c>
      <c r="C2" s="7"/>
    </row>
    <row r="3" spans="1:21">
      <c r="B3" s="5" t="s">
        <v>2</v>
      </c>
      <c r="C3" s="6"/>
    </row>
    <row r="4" spans="1:21">
      <c r="A4" s="5" t="s">
        <v>3</v>
      </c>
      <c r="B4" s="9"/>
      <c r="C4" s="6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>
      <c r="A5" s="5" t="s">
        <v>4</v>
      </c>
      <c r="B5" s="9"/>
      <c r="C5" s="6"/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83" customFormat="1" ht="15.75">
      <c r="A6" s="62" t="s">
        <v>668</v>
      </c>
      <c r="B6" s="86"/>
      <c r="C6" s="86"/>
      <c r="D6" s="86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</row>
    <row r="7" spans="1:21" s="83" customFormat="1" ht="15.75">
      <c r="A7" s="62" t="s">
        <v>5</v>
      </c>
      <c r="B7" s="86"/>
      <c r="C7" s="86"/>
      <c r="D7" s="86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</row>
    <row r="9" spans="1:21" ht="24" customHeight="1">
      <c r="A9" s="425" t="s">
        <v>6</v>
      </c>
      <c r="B9" s="382" t="s">
        <v>7</v>
      </c>
      <c r="C9" s="418" t="s">
        <v>8</v>
      </c>
      <c r="D9" s="412" t="s">
        <v>9</v>
      </c>
      <c r="E9" s="414" t="s">
        <v>10</v>
      </c>
      <c r="F9" s="416" t="s">
        <v>11</v>
      </c>
      <c r="G9" s="386" t="s">
        <v>12</v>
      </c>
      <c r="H9" s="10" t="s">
        <v>13</v>
      </c>
      <c r="I9" s="36"/>
      <c r="J9" s="37" t="s">
        <v>14</v>
      </c>
      <c r="K9" s="36"/>
      <c r="L9" s="37" t="s">
        <v>15</v>
      </c>
      <c r="M9" s="38"/>
      <c r="N9" s="416" t="s">
        <v>16</v>
      </c>
      <c r="O9" s="382" t="s">
        <v>17</v>
      </c>
      <c r="P9" s="382" t="s">
        <v>18</v>
      </c>
      <c r="Q9" s="382" t="s">
        <v>19</v>
      </c>
      <c r="R9" s="45" t="s">
        <v>20</v>
      </c>
      <c r="S9" s="36"/>
      <c r="T9" s="384" t="s">
        <v>21</v>
      </c>
      <c r="U9" s="386" t="s">
        <v>22</v>
      </c>
    </row>
    <row r="10" spans="1:21" s="1" customFormat="1" ht="87.75" customHeight="1">
      <c r="A10" s="426"/>
      <c r="B10" s="383"/>
      <c r="C10" s="419"/>
      <c r="D10" s="413"/>
      <c r="E10" s="415"/>
      <c r="F10" s="417"/>
      <c r="G10" s="387"/>
      <c r="H10" s="11" t="s">
        <v>23</v>
      </c>
      <c r="I10" s="13" t="s">
        <v>24</v>
      </c>
      <c r="J10" s="11" t="s">
        <v>23</v>
      </c>
      <c r="K10" s="13" t="s">
        <v>24</v>
      </c>
      <c r="L10" s="11" t="s">
        <v>23</v>
      </c>
      <c r="M10" s="13" t="s">
        <v>24</v>
      </c>
      <c r="N10" s="417"/>
      <c r="O10" s="383"/>
      <c r="P10" s="383"/>
      <c r="Q10" s="383"/>
      <c r="R10" s="12" t="s">
        <v>25</v>
      </c>
      <c r="S10" s="46" t="s">
        <v>26</v>
      </c>
      <c r="T10" s="385"/>
      <c r="U10" s="387"/>
    </row>
    <row r="11" spans="1:21" s="2" customFormat="1">
      <c r="A11" s="90">
        <v>1</v>
      </c>
      <c r="B11" s="15">
        <v>2</v>
      </c>
      <c r="C11" s="15">
        <v>3</v>
      </c>
      <c r="D11" s="16">
        <v>4</v>
      </c>
      <c r="E11" s="17">
        <v>5</v>
      </c>
      <c r="F11" s="14">
        <v>6</v>
      </c>
      <c r="G11" s="16">
        <v>7</v>
      </c>
      <c r="H11" s="18">
        <v>8</v>
      </c>
      <c r="I11" s="39">
        <v>9</v>
      </c>
      <c r="J11" s="18">
        <v>10</v>
      </c>
      <c r="K11" s="39">
        <v>11</v>
      </c>
      <c r="L11" s="18">
        <v>12</v>
      </c>
      <c r="M11" s="39">
        <v>13</v>
      </c>
      <c r="N11" s="14">
        <v>14</v>
      </c>
      <c r="O11" s="15">
        <v>15</v>
      </c>
      <c r="P11" s="40">
        <v>16</v>
      </c>
      <c r="Q11" s="40">
        <v>17</v>
      </c>
      <c r="R11" s="40">
        <v>18</v>
      </c>
      <c r="S11" s="39">
        <v>19</v>
      </c>
      <c r="T11" s="18">
        <v>20</v>
      </c>
      <c r="U11" s="39">
        <v>21</v>
      </c>
    </row>
    <row r="12" spans="1:21" ht="63.75">
      <c r="A12" s="87" t="s">
        <v>27</v>
      </c>
      <c r="B12" s="19" t="s">
        <v>669</v>
      </c>
      <c r="C12" s="34" t="s">
        <v>670</v>
      </c>
      <c r="D12" s="21" t="s">
        <v>37</v>
      </c>
      <c r="E12" s="35" t="s">
        <v>671</v>
      </c>
      <c r="F12" s="23">
        <v>1</v>
      </c>
      <c r="G12" s="24">
        <v>3</v>
      </c>
      <c r="H12" s="25">
        <v>60</v>
      </c>
      <c r="I12" s="41">
        <v>60</v>
      </c>
      <c r="J12" s="25">
        <v>30</v>
      </c>
      <c r="K12" s="41">
        <v>90</v>
      </c>
      <c r="L12" s="25"/>
      <c r="M12" s="41"/>
      <c r="N12" s="25"/>
      <c r="O12" s="42"/>
      <c r="P12" s="42"/>
      <c r="Q12" s="42"/>
      <c r="R12" s="42"/>
      <c r="S12" s="41"/>
      <c r="T12" s="25">
        <f t="shared" ref="T12:T16" si="0">(I12+K12+M12+N12+O12+P12+Q12+R12+S12)</f>
        <v>150</v>
      </c>
      <c r="U12" s="41">
        <v>8</v>
      </c>
    </row>
    <row r="13" spans="1:21">
      <c r="A13" s="87" t="s">
        <v>27</v>
      </c>
      <c r="B13" s="19" t="s">
        <v>281</v>
      </c>
      <c r="C13" s="19" t="s">
        <v>672</v>
      </c>
      <c r="D13" s="21" t="s">
        <v>54</v>
      </c>
      <c r="E13" s="35">
        <v>20</v>
      </c>
      <c r="F13" s="23">
        <v>1</v>
      </c>
      <c r="G13" s="24">
        <v>1</v>
      </c>
      <c r="H13" s="25">
        <v>30</v>
      </c>
      <c r="I13" s="41">
        <v>30</v>
      </c>
      <c r="J13" s="25">
        <v>30</v>
      </c>
      <c r="K13" s="41">
        <v>30</v>
      </c>
      <c r="L13" s="25"/>
      <c r="M13" s="41"/>
      <c r="N13" s="25"/>
      <c r="O13" s="42"/>
      <c r="P13" s="42"/>
      <c r="Q13" s="42"/>
      <c r="R13" s="42"/>
      <c r="S13" s="41"/>
      <c r="T13" s="25">
        <f t="shared" si="0"/>
        <v>60</v>
      </c>
      <c r="U13" s="41">
        <v>5</v>
      </c>
    </row>
    <row r="14" spans="1:21" ht="89.25">
      <c r="A14" s="277" t="s">
        <v>27</v>
      </c>
      <c r="B14" s="278" t="s">
        <v>673</v>
      </c>
      <c r="C14" s="279" t="s">
        <v>674</v>
      </c>
      <c r="D14" s="280" t="s">
        <v>77</v>
      </c>
      <c r="E14" s="281" t="s">
        <v>675</v>
      </c>
      <c r="F14" s="282">
        <v>1</v>
      </c>
      <c r="G14" s="283">
        <v>1</v>
      </c>
      <c r="H14" s="284">
        <v>15</v>
      </c>
      <c r="I14" s="285">
        <v>15</v>
      </c>
      <c r="J14" s="284">
        <v>15</v>
      </c>
      <c r="K14" s="285">
        <v>15</v>
      </c>
      <c r="L14" s="284"/>
      <c r="M14" s="285"/>
      <c r="N14" s="284"/>
      <c r="O14" s="286"/>
      <c r="P14" s="286"/>
      <c r="Q14" s="286"/>
      <c r="R14" s="286"/>
      <c r="S14" s="285"/>
      <c r="T14" s="284">
        <f t="shared" si="0"/>
        <v>30</v>
      </c>
      <c r="U14" s="285">
        <v>3</v>
      </c>
    </row>
    <row r="15" spans="1:21" ht="89.25">
      <c r="A15" s="277" t="s">
        <v>27</v>
      </c>
      <c r="B15" s="287" t="s">
        <v>553</v>
      </c>
      <c r="C15" s="279" t="s">
        <v>674</v>
      </c>
      <c r="D15" s="280" t="s">
        <v>77</v>
      </c>
      <c r="E15" s="281">
        <v>15</v>
      </c>
      <c r="F15" s="282">
        <v>1</v>
      </c>
      <c r="G15" s="283">
        <v>1</v>
      </c>
      <c r="H15" s="284">
        <v>15</v>
      </c>
      <c r="I15" s="285">
        <v>15</v>
      </c>
      <c r="J15" s="284">
        <v>15</v>
      </c>
      <c r="K15" s="285">
        <v>15</v>
      </c>
      <c r="L15" s="284"/>
      <c r="M15" s="285"/>
      <c r="N15" s="284"/>
      <c r="O15" s="286"/>
      <c r="P15" s="286"/>
      <c r="Q15" s="286"/>
      <c r="R15" s="286"/>
      <c r="S15" s="285"/>
      <c r="T15" s="284">
        <f t="shared" si="0"/>
        <v>30</v>
      </c>
      <c r="U15" s="285">
        <v>3</v>
      </c>
    </row>
    <row r="16" spans="1:21">
      <c r="A16" s="277" t="s">
        <v>27</v>
      </c>
      <c r="B16" s="288" t="s">
        <v>676</v>
      </c>
      <c r="C16" s="289" t="s">
        <v>677</v>
      </c>
      <c r="D16" s="290" t="s">
        <v>78</v>
      </c>
      <c r="E16" s="281">
        <v>30</v>
      </c>
      <c r="F16" s="282">
        <v>1</v>
      </c>
      <c r="G16" s="283">
        <v>1</v>
      </c>
      <c r="H16" s="284">
        <v>45</v>
      </c>
      <c r="I16" s="285">
        <v>45</v>
      </c>
      <c r="J16" s="284">
        <v>30</v>
      </c>
      <c r="K16" s="285">
        <v>30</v>
      </c>
      <c r="L16" s="284"/>
      <c r="M16" s="285"/>
      <c r="N16" s="284"/>
      <c r="O16" s="286"/>
      <c r="P16" s="286"/>
      <c r="Q16" s="286"/>
      <c r="R16" s="286"/>
      <c r="S16" s="285"/>
      <c r="T16" s="284">
        <f t="shared" si="0"/>
        <v>75</v>
      </c>
      <c r="U16" s="285">
        <v>8</v>
      </c>
    </row>
    <row r="17" spans="1:21">
      <c r="A17" s="277" t="s">
        <v>27</v>
      </c>
      <c r="B17" s="288" t="s">
        <v>678</v>
      </c>
      <c r="C17" s="291" t="s">
        <v>677</v>
      </c>
      <c r="D17" s="290" t="s">
        <v>78</v>
      </c>
      <c r="E17" s="281">
        <v>30</v>
      </c>
      <c r="F17" s="282">
        <v>1</v>
      </c>
      <c r="G17" s="283">
        <v>1</v>
      </c>
      <c r="H17" s="284">
        <v>45</v>
      </c>
      <c r="I17" s="285">
        <v>45</v>
      </c>
      <c r="J17" s="284">
        <v>30</v>
      </c>
      <c r="K17" s="285">
        <v>30</v>
      </c>
      <c r="L17" s="284"/>
      <c r="M17" s="285"/>
      <c r="N17" s="284"/>
      <c r="O17" s="286"/>
      <c r="P17" s="286"/>
      <c r="Q17" s="286"/>
      <c r="R17" s="286"/>
      <c r="S17" s="285"/>
      <c r="T17" s="284">
        <f t="shared" ref="T17:T25" si="1">(I17+K17+M17+N17+O17+P17+Q17+R17+S17)</f>
        <v>75</v>
      </c>
      <c r="U17" s="285">
        <v>8</v>
      </c>
    </row>
    <row r="18" spans="1:21" ht="25.5">
      <c r="A18" s="277" t="s">
        <v>27</v>
      </c>
      <c r="B18" s="287" t="s">
        <v>679</v>
      </c>
      <c r="C18" s="292" t="s">
        <v>680</v>
      </c>
      <c r="D18" s="280" t="s">
        <v>79</v>
      </c>
      <c r="E18" s="281">
        <v>40</v>
      </c>
      <c r="F18" s="282">
        <v>1</v>
      </c>
      <c r="G18" s="283">
        <v>1</v>
      </c>
      <c r="H18" s="284">
        <v>45</v>
      </c>
      <c r="I18" s="285">
        <v>45</v>
      </c>
      <c r="J18" s="284">
        <v>30</v>
      </c>
      <c r="K18" s="285">
        <v>30</v>
      </c>
      <c r="L18" s="284"/>
      <c r="M18" s="285"/>
      <c r="N18" s="284"/>
      <c r="O18" s="286"/>
      <c r="P18" s="286"/>
      <c r="Q18" s="286"/>
      <c r="R18" s="286"/>
      <c r="S18" s="285"/>
      <c r="T18" s="284">
        <f t="shared" si="1"/>
        <v>75</v>
      </c>
      <c r="U18" s="285">
        <v>8</v>
      </c>
    </row>
    <row r="19" spans="1:21" ht="25.5">
      <c r="A19" s="277" t="s">
        <v>27</v>
      </c>
      <c r="B19" s="278" t="s">
        <v>681</v>
      </c>
      <c r="C19" s="293" t="s">
        <v>680</v>
      </c>
      <c r="D19" s="280" t="s">
        <v>79</v>
      </c>
      <c r="E19" s="281">
        <v>30</v>
      </c>
      <c r="F19" s="282">
        <v>1</v>
      </c>
      <c r="G19" s="283">
        <v>1</v>
      </c>
      <c r="H19" s="284">
        <v>45</v>
      </c>
      <c r="I19" s="285">
        <v>45</v>
      </c>
      <c r="J19" s="284">
        <v>30</v>
      </c>
      <c r="K19" s="285">
        <v>30</v>
      </c>
      <c r="L19" s="284"/>
      <c r="M19" s="285"/>
      <c r="N19" s="284"/>
      <c r="O19" s="286"/>
      <c r="P19" s="286"/>
      <c r="Q19" s="286"/>
      <c r="R19" s="286"/>
      <c r="S19" s="285"/>
      <c r="T19" s="284">
        <f t="shared" si="1"/>
        <v>75</v>
      </c>
      <c r="U19" s="285">
        <v>8</v>
      </c>
    </row>
    <row r="20" spans="1:21" ht="25.5">
      <c r="A20" s="277" t="s">
        <v>27</v>
      </c>
      <c r="B20" s="294" t="s">
        <v>469</v>
      </c>
      <c r="C20" s="279" t="s">
        <v>682</v>
      </c>
      <c r="D20" s="295" t="s">
        <v>524</v>
      </c>
      <c r="E20" s="281">
        <v>20</v>
      </c>
      <c r="F20" s="282">
        <v>1</v>
      </c>
      <c r="G20" s="283">
        <v>1</v>
      </c>
      <c r="H20" s="284">
        <v>30</v>
      </c>
      <c r="I20" s="285">
        <v>30</v>
      </c>
      <c r="J20" s="284">
        <v>30</v>
      </c>
      <c r="K20" s="285">
        <v>30</v>
      </c>
      <c r="L20" s="284"/>
      <c r="M20" s="285"/>
      <c r="N20" s="284"/>
      <c r="O20" s="286"/>
      <c r="P20" s="286"/>
      <c r="Q20" s="286"/>
      <c r="R20" s="286"/>
      <c r="S20" s="285"/>
      <c r="T20" s="284">
        <f t="shared" si="1"/>
        <v>60</v>
      </c>
      <c r="U20" s="285">
        <v>7</v>
      </c>
    </row>
    <row r="21" spans="1:21">
      <c r="A21" s="277" t="s">
        <v>27</v>
      </c>
      <c r="B21" s="278" t="s">
        <v>137</v>
      </c>
      <c r="C21" s="287" t="s">
        <v>683</v>
      </c>
      <c r="D21" s="279" t="s">
        <v>29</v>
      </c>
      <c r="E21" s="281">
        <v>40</v>
      </c>
      <c r="F21" s="282">
        <v>1</v>
      </c>
      <c r="G21" s="283">
        <v>1</v>
      </c>
      <c r="H21" s="284">
        <v>15</v>
      </c>
      <c r="I21" s="285">
        <v>15</v>
      </c>
      <c r="J21" s="284">
        <v>15</v>
      </c>
      <c r="K21" s="285">
        <v>15</v>
      </c>
      <c r="L21" s="284"/>
      <c r="M21" s="285"/>
      <c r="N21" s="284"/>
      <c r="O21" s="286"/>
      <c r="P21" s="286"/>
      <c r="Q21" s="286"/>
      <c r="R21" s="286"/>
      <c r="S21" s="285"/>
      <c r="T21" s="284">
        <f t="shared" si="1"/>
        <v>30</v>
      </c>
      <c r="U21" s="285">
        <v>4</v>
      </c>
    </row>
    <row r="22" spans="1:21">
      <c r="A22" s="277" t="s">
        <v>27</v>
      </c>
      <c r="B22" s="294" t="s">
        <v>615</v>
      </c>
      <c r="C22" s="279" t="s">
        <v>684</v>
      </c>
      <c r="D22" s="290" t="s">
        <v>78</v>
      </c>
      <c r="E22" s="281">
        <v>25</v>
      </c>
      <c r="F22" s="282">
        <v>1</v>
      </c>
      <c r="G22" s="283">
        <v>1</v>
      </c>
      <c r="H22" s="284">
        <v>45</v>
      </c>
      <c r="I22" s="285">
        <v>45</v>
      </c>
      <c r="J22" s="284">
        <v>45</v>
      </c>
      <c r="K22" s="285">
        <v>45</v>
      </c>
      <c r="L22" s="284"/>
      <c r="M22" s="285"/>
      <c r="N22" s="284"/>
      <c r="O22" s="286"/>
      <c r="P22" s="286"/>
      <c r="Q22" s="286"/>
      <c r="R22" s="286"/>
      <c r="S22" s="285"/>
      <c r="T22" s="284">
        <f t="shared" si="1"/>
        <v>90</v>
      </c>
      <c r="U22" s="285">
        <v>8</v>
      </c>
    </row>
    <row r="23" spans="1:21" ht="38.25">
      <c r="A23" s="277" t="s">
        <v>27</v>
      </c>
      <c r="B23" s="294" t="s">
        <v>567</v>
      </c>
      <c r="C23" s="279" t="s">
        <v>685</v>
      </c>
      <c r="D23" s="290" t="s">
        <v>449</v>
      </c>
      <c r="E23" s="281" t="s">
        <v>568</v>
      </c>
      <c r="F23" s="282">
        <v>1</v>
      </c>
      <c r="G23" s="283">
        <v>2</v>
      </c>
      <c r="H23" s="284">
        <v>30</v>
      </c>
      <c r="I23" s="285">
        <v>30</v>
      </c>
      <c r="J23" s="284">
        <v>15</v>
      </c>
      <c r="K23" s="285">
        <v>30</v>
      </c>
      <c r="L23" s="284"/>
      <c r="M23" s="285"/>
      <c r="N23" s="284"/>
      <c r="O23" s="286"/>
      <c r="P23" s="286"/>
      <c r="Q23" s="286"/>
      <c r="R23" s="286"/>
      <c r="S23" s="285"/>
      <c r="T23" s="284">
        <f t="shared" si="1"/>
        <v>60</v>
      </c>
      <c r="U23" s="283" t="s">
        <v>686</v>
      </c>
    </row>
    <row r="24" spans="1:21">
      <c r="A24" s="277" t="s">
        <v>27</v>
      </c>
      <c r="B24" s="294" t="s">
        <v>616</v>
      </c>
      <c r="C24" s="279" t="s">
        <v>684</v>
      </c>
      <c r="D24" s="290" t="s">
        <v>78</v>
      </c>
      <c r="E24" s="281">
        <v>34</v>
      </c>
      <c r="F24" s="282">
        <v>1</v>
      </c>
      <c r="G24" s="283">
        <v>1</v>
      </c>
      <c r="H24" s="284">
        <v>45</v>
      </c>
      <c r="I24" s="285">
        <v>45</v>
      </c>
      <c r="J24" s="284">
        <v>45</v>
      </c>
      <c r="K24" s="285">
        <v>45</v>
      </c>
      <c r="L24" s="284"/>
      <c r="M24" s="285"/>
      <c r="N24" s="284"/>
      <c r="O24" s="286"/>
      <c r="P24" s="286"/>
      <c r="Q24" s="286"/>
      <c r="R24" s="286"/>
      <c r="S24" s="285"/>
      <c r="T24" s="284">
        <f t="shared" si="1"/>
        <v>90</v>
      </c>
      <c r="U24" s="285">
        <v>8</v>
      </c>
    </row>
    <row r="25" spans="1:21" ht="38.25">
      <c r="A25" s="277" t="s">
        <v>27</v>
      </c>
      <c r="B25" s="294" t="s">
        <v>569</v>
      </c>
      <c r="C25" s="279" t="s">
        <v>685</v>
      </c>
      <c r="D25" s="290" t="s">
        <v>78</v>
      </c>
      <c r="E25" s="281">
        <v>34</v>
      </c>
      <c r="F25" s="282">
        <v>1</v>
      </c>
      <c r="G25" s="283">
        <v>1</v>
      </c>
      <c r="H25" s="284">
        <v>30</v>
      </c>
      <c r="I25" s="284">
        <v>30</v>
      </c>
      <c r="J25" s="284">
        <v>15</v>
      </c>
      <c r="K25" s="284">
        <v>15</v>
      </c>
      <c r="L25" s="284"/>
      <c r="M25" s="285"/>
      <c r="N25" s="284"/>
      <c r="O25" s="286"/>
      <c r="P25" s="286"/>
      <c r="Q25" s="286"/>
      <c r="R25" s="286"/>
      <c r="S25" s="285"/>
      <c r="T25" s="284">
        <f t="shared" si="1"/>
        <v>45</v>
      </c>
      <c r="U25" s="283" t="s">
        <v>686</v>
      </c>
    </row>
    <row r="26" spans="1:21" ht="38.25">
      <c r="A26" s="277" t="s">
        <v>27</v>
      </c>
      <c r="B26" s="278" t="s">
        <v>477</v>
      </c>
      <c r="C26" s="287" t="s">
        <v>687</v>
      </c>
      <c r="D26" s="280" t="s">
        <v>457</v>
      </c>
      <c r="E26" s="281">
        <v>29</v>
      </c>
      <c r="F26" s="282">
        <v>1</v>
      </c>
      <c r="G26" s="283">
        <v>1</v>
      </c>
      <c r="H26" s="284">
        <v>30</v>
      </c>
      <c r="I26" s="284">
        <v>30</v>
      </c>
      <c r="J26" s="284">
        <v>15</v>
      </c>
      <c r="K26" s="284">
        <v>15</v>
      </c>
      <c r="L26" s="284"/>
      <c r="M26" s="285"/>
      <c r="N26" s="284"/>
      <c r="O26" s="286"/>
      <c r="P26" s="286"/>
      <c r="Q26" s="286"/>
      <c r="R26" s="286"/>
      <c r="S26" s="285"/>
      <c r="T26" s="284">
        <f t="shared" ref="T26:T34" si="2">(I26+K26+M26+N26+O26+P26+Q26+R26+S26)</f>
        <v>45</v>
      </c>
      <c r="U26" s="285">
        <v>3</v>
      </c>
    </row>
    <row r="27" spans="1:21" ht="38.25">
      <c r="A27" s="277" t="s">
        <v>27</v>
      </c>
      <c r="B27" s="287" t="s">
        <v>479</v>
      </c>
      <c r="C27" s="287" t="s">
        <v>687</v>
      </c>
      <c r="D27" s="280" t="s">
        <v>457</v>
      </c>
      <c r="E27" s="281">
        <v>31</v>
      </c>
      <c r="F27" s="282">
        <v>1</v>
      </c>
      <c r="G27" s="283">
        <v>1</v>
      </c>
      <c r="H27" s="284">
        <v>30</v>
      </c>
      <c r="I27" s="284">
        <v>30</v>
      </c>
      <c r="J27" s="284">
        <v>15</v>
      </c>
      <c r="K27" s="284">
        <v>15</v>
      </c>
      <c r="L27" s="284"/>
      <c r="M27" s="285"/>
      <c r="N27" s="284"/>
      <c r="O27" s="286"/>
      <c r="P27" s="286"/>
      <c r="Q27" s="286"/>
      <c r="R27" s="286"/>
      <c r="S27" s="285"/>
      <c r="T27" s="284">
        <f t="shared" si="2"/>
        <v>45</v>
      </c>
      <c r="U27" s="285">
        <v>3</v>
      </c>
    </row>
    <row r="28" spans="1:21">
      <c r="A28" s="277" t="s">
        <v>27</v>
      </c>
      <c r="B28" s="287" t="s">
        <v>619</v>
      </c>
      <c r="C28" s="279" t="s">
        <v>684</v>
      </c>
      <c r="D28" s="280" t="s">
        <v>79</v>
      </c>
      <c r="E28" s="281">
        <v>40</v>
      </c>
      <c r="F28" s="282">
        <v>1</v>
      </c>
      <c r="G28" s="283">
        <v>1</v>
      </c>
      <c r="H28" s="284">
        <v>45</v>
      </c>
      <c r="I28" s="284">
        <v>45</v>
      </c>
      <c r="J28" s="284">
        <v>45</v>
      </c>
      <c r="K28" s="284">
        <v>45</v>
      </c>
      <c r="L28" s="284"/>
      <c r="M28" s="285"/>
      <c r="N28" s="284"/>
      <c r="O28" s="286"/>
      <c r="P28" s="286"/>
      <c r="Q28" s="286"/>
      <c r="R28" s="286"/>
      <c r="S28" s="285"/>
      <c r="T28" s="284">
        <f t="shared" si="2"/>
        <v>90</v>
      </c>
      <c r="U28" s="285">
        <v>6</v>
      </c>
    </row>
    <row r="29" spans="1:21">
      <c r="A29" s="277" t="s">
        <v>27</v>
      </c>
      <c r="B29" s="287" t="s">
        <v>620</v>
      </c>
      <c r="C29" s="279" t="s">
        <v>684</v>
      </c>
      <c r="D29" s="280" t="s">
        <v>79</v>
      </c>
      <c r="E29" s="281">
        <v>29</v>
      </c>
      <c r="F29" s="282">
        <v>1</v>
      </c>
      <c r="G29" s="283">
        <v>1</v>
      </c>
      <c r="H29" s="284">
        <v>45</v>
      </c>
      <c r="I29" s="284">
        <v>45</v>
      </c>
      <c r="J29" s="284">
        <v>45</v>
      </c>
      <c r="K29" s="284">
        <v>45</v>
      </c>
      <c r="L29" s="284"/>
      <c r="M29" s="285"/>
      <c r="N29" s="284"/>
      <c r="O29" s="286"/>
      <c r="P29" s="286"/>
      <c r="Q29" s="286"/>
      <c r="R29" s="286"/>
      <c r="S29" s="285"/>
      <c r="T29" s="284">
        <f t="shared" si="2"/>
        <v>90</v>
      </c>
      <c r="U29" s="285">
        <v>6</v>
      </c>
    </row>
    <row r="30" spans="1:21" ht="25.5">
      <c r="A30" s="277" t="s">
        <v>27</v>
      </c>
      <c r="B30" s="287" t="s">
        <v>481</v>
      </c>
      <c r="C30" s="279" t="s">
        <v>688</v>
      </c>
      <c r="D30" s="296" t="s">
        <v>100</v>
      </c>
      <c r="E30" s="281">
        <v>40</v>
      </c>
      <c r="F30" s="283">
        <v>1</v>
      </c>
      <c r="G30" s="283">
        <v>1</v>
      </c>
      <c r="H30" s="284"/>
      <c r="I30" s="284"/>
      <c r="J30" s="284">
        <v>60</v>
      </c>
      <c r="K30" s="284">
        <v>60</v>
      </c>
      <c r="L30" s="284"/>
      <c r="M30" s="285"/>
      <c r="N30" s="284"/>
      <c r="O30" s="286"/>
      <c r="P30" s="286"/>
      <c r="Q30" s="286"/>
      <c r="R30" s="286"/>
      <c r="S30" s="285"/>
      <c r="T30" s="284">
        <f t="shared" si="2"/>
        <v>60</v>
      </c>
      <c r="U30" s="285">
        <v>5</v>
      </c>
    </row>
    <row r="31" spans="1:21" ht="25.5">
      <c r="A31" s="277" t="s">
        <v>27</v>
      </c>
      <c r="B31" s="287" t="s">
        <v>483</v>
      </c>
      <c r="C31" s="279" t="s">
        <v>688</v>
      </c>
      <c r="D31" s="296" t="s">
        <v>100</v>
      </c>
      <c r="E31" s="281">
        <v>29</v>
      </c>
      <c r="F31" s="283">
        <v>1</v>
      </c>
      <c r="G31" s="283">
        <v>1</v>
      </c>
      <c r="H31" s="284"/>
      <c r="I31" s="284"/>
      <c r="J31" s="284">
        <v>60</v>
      </c>
      <c r="K31" s="284">
        <v>60</v>
      </c>
      <c r="L31" s="284"/>
      <c r="M31" s="285"/>
      <c r="N31" s="284"/>
      <c r="O31" s="286"/>
      <c r="P31" s="286"/>
      <c r="Q31" s="286"/>
      <c r="R31" s="286"/>
      <c r="S31" s="285"/>
      <c r="T31" s="284">
        <f t="shared" si="2"/>
        <v>60</v>
      </c>
      <c r="U31" s="285">
        <v>5</v>
      </c>
    </row>
    <row r="32" spans="1:21" ht="25.5">
      <c r="A32" s="277" t="s">
        <v>27</v>
      </c>
      <c r="B32" s="287" t="s">
        <v>689</v>
      </c>
      <c r="C32" s="287" t="s">
        <v>690</v>
      </c>
      <c r="D32" s="290" t="s">
        <v>78</v>
      </c>
      <c r="E32" s="281" t="s">
        <v>624</v>
      </c>
      <c r="F32" s="282">
        <v>1</v>
      </c>
      <c r="G32" s="283">
        <v>2</v>
      </c>
      <c r="H32" s="284">
        <v>45</v>
      </c>
      <c r="I32" s="284">
        <v>45</v>
      </c>
      <c r="J32" s="284">
        <v>45</v>
      </c>
      <c r="K32" s="285">
        <v>90</v>
      </c>
      <c r="L32" s="284"/>
      <c r="M32" s="285"/>
      <c r="N32" s="284"/>
      <c r="O32" s="286"/>
      <c r="P32" s="286"/>
      <c r="Q32" s="286"/>
      <c r="R32" s="286"/>
      <c r="S32" s="285"/>
      <c r="T32" s="284">
        <f t="shared" si="2"/>
        <v>135</v>
      </c>
      <c r="U32" s="285">
        <v>8</v>
      </c>
    </row>
    <row r="33" spans="1:21" ht="25.5">
      <c r="A33" s="277" t="s">
        <v>27</v>
      </c>
      <c r="B33" s="287" t="s">
        <v>625</v>
      </c>
      <c r="C33" s="287" t="s">
        <v>690</v>
      </c>
      <c r="D33" s="290" t="s">
        <v>78</v>
      </c>
      <c r="E33" s="281" t="s">
        <v>626</v>
      </c>
      <c r="F33" s="282">
        <v>1</v>
      </c>
      <c r="G33" s="283">
        <v>1</v>
      </c>
      <c r="H33" s="284">
        <v>45</v>
      </c>
      <c r="I33" s="284">
        <v>45</v>
      </c>
      <c r="J33" s="284">
        <v>45</v>
      </c>
      <c r="K33" s="284">
        <v>45</v>
      </c>
      <c r="L33" s="284"/>
      <c r="M33" s="285"/>
      <c r="N33" s="284"/>
      <c r="O33" s="286"/>
      <c r="P33" s="286"/>
      <c r="Q33" s="286"/>
      <c r="R33" s="286"/>
      <c r="S33" s="285"/>
      <c r="T33" s="284">
        <f t="shared" si="2"/>
        <v>90</v>
      </c>
      <c r="U33" s="285">
        <v>8</v>
      </c>
    </row>
    <row r="34" spans="1:21" ht="15.75" customHeight="1">
      <c r="A34" s="277" t="s">
        <v>27</v>
      </c>
      <c r="B34" s="287" t="s">
        <v>498</v>
      </c>
      <c r="C34" s="287" t="s">
        <v>690</v>
      </c>
      <c r="D34" s="280" t="s">
        <v>457</v>
      </c>
      <c r="E34" s="281">
        <v>30</v>
      </c>
      <c r="F34" s="282">
        <v>1</v>
      </c>
      <c r="G34" s="283">
        <v>1</v>
      </c>
      <c r="H34" s="284">
        <v>45</v>
      </c>
      <c r="I34" s="284">
        <v>45</v>
      </c>
      <c r="J34" s="284">
        <v>30</v>
      </c>
      <c r="K34" s="284">
        <v>30</v>
      </c>
      <c r="L34" s="284"/>
      <c r="M34" s="285"/>
      <c r="N34" s="284"/>
      <c r="O34" s="286"/>
      <c r="P34" s="286"/>
      <c r="Q34" s="286"/>
      <c r="R34" s="286"/>
      <c r="S34" s="285"/>
      <c r="T34" s="284">
        <f t="shared" si="2"/>
        <v>75</v>
      </c>
      <c r="U34" s="285">
        <v>6</v>
      </c>
    </row>
    <row r="35" spans="1:21">
      <c r="A35" s="277" t="s">
        <v>27</v>
      </c>
      <c r="B35" s="278" t="s">
        <v>512</v>
      </c>
      <c r="C35" s="287" t="s">
        <v>691</v>
      </c>
      <c r="D35" s="290" t="s">
        <v>78</v>
      </c>
      <c r="E35" s="281">
        <v>21</v>
      </c>
      <c r="F35" s="282">
        <v>1</v>
      </c>
      <c r="G35" s="283">
        <v>1</v>
      </c>
      <c r="H35" s="284">
        <v>45</v>
      </c>
      <c r="I35" s="284">
        <v>45</v>
      </c>
      <c r="J35" s="284">
        <v>45</v>
      </c>
      <c r="K35" s="284">
        <v>45</v>
      </c>
      <c r="L35" s="284"/>
      <c r="M35" s="285"/>
      <c r="N35" s="284"/>
      <c r="O35" s="286"/>
      <c r="P35" s="286"/>
      <c r="Q35" s="286"/>
      <c r="R35" s="286"/>
      <c r="S35" s="285"/>
      <c r="T35" s="284">
        <f t="shared" ref="T35:T45" si="3">(I35+K35+M35+N35+O35+P35+Q35+R35+S35)</f>
        <v>90</v>
      </c>
      <c r="U35" s="285">
        <v>7</v>
      </c>
    </row>
    <row r="36" spans="1:21" ht="16.5" customHeight="1">
      <c r="A36" s="277" t="s">
        <v>27</v>
      </c>
      <c r="B36" s="278" t="s">
        <v>514</v>
      </c>
      <c r="C36" s="287" t="s">
        <v>691</v>
      </c>
      <c r="D36" s="290" t="s">
        <v>78</v>
      </c>
      <c r="E36" s="281">
        <v>8</v>
      </c>
      <c r="F36" s="282">
        <v>1</v>
      </c>
      <c r="G36" s="283">
        <v>1</v>
      </c>
      <c r="H36" s="284">
        <v>45</v>
      </c>
      <c r="I36" s="284">
        <v>45</v>
      </c>
      <c r="J36" s="284">
        <v>45</v>
      </c>
      <c r="K36" s="284">
        <v>45</v>
      </c>
      <c r="L36" s="284"/>
      <c r="M36" s="285"/>
      <c r="N36" s="284"/>
      <c r="O36" s="286"/>
      <c r="P36" s="286"/>
      <c r="Q36" s="286"/>
      <c r="R36" s="286"/>
      <c r="S36" s="285"/>
      <c r="T36" s="284">
        <f t="shared" si="3"/>
        <v>90</v>
      </c>
      <c r="U36" s="285">
        <v>7</v>
      </c>
    </row>
    <row r="37" spans="1:21" ht="124.5" customHeight="1">
      <c r="A37" s="87" t="s">
        <v>27</v>
      </c>
      <c r="B37" s="91">
        <v>2034</v>
      </c>
      <c r="C37" s="51" t="s">
        <v>674</v>
      </c>
      <c r="D37" s="92" t="s">
        <v>77</v>
      </c>
      <c r="E37" s="35">
        <v>34</v>
      </c>
      <c r="F37" s="23">
        <v>1</v>
      </c>
      <c r="G37" s="24">
        <v>1</v>
      </c>
      <c r="H37" s="25">
        <v>5</v>
      </c>
      <c r="I37" s="25">
        <v>5</v>
      </c>
      <c r="J37" s="25">
        <v>5</v>
      </c>
      <c r="K37" s="25">
        <v>5</v>
      </c>
      <c r="L37" s="25"/>
      <c r="M37" s="41"/>
      <c r="N37" s="25"/>
      <c r="O37" s="42"/>
      <c r="P37" s="42"/>
      <c r="Q37" s="42"/>
      <c r="R37" s="42"/>
      <c r="S37" s="41"/>
      <c r="T37" s="25">
        <f t="shared" si="3"/>
        <v>10</v>
      </c>
      <c r="U37" s="41">
        <v>3</v>
      </c>
    </row>
    <row r="38" spans="1:21" ht="63.75">
      <c r="A38" s="87" t="s">
        <v>27</v>
      </c>
      <c r="B38" s="242" t="s">
        <v>692</v>
      </c>
      <c r="C38" s="19" t="s">
        <v>693</v>
      </c>
      <c r="D38" s="92" t="s">
        <v>694</v>
      </c>
      <c r="E38" s="35" t="s">
        <v>695</v>
      </c>
      <c r="F38" s="23">
        <v>1</v>
      </c>
      <c r="G38" s="24">
        <v>2</v>
      </c>
      <c r="H38" s="25">
        <v>15</v>
      </c>
      <c r="I38" s="25">
        <v>15</v>
      </c>
      <c r="J38" s="25">
        <v>15</v>
      </c>
      <c r="K38" s="25">
        <v>30</v>
      </c>
      <c r="L38" s="25"/>
      <c r="M38" s="41"/>
      <c r="N38" s="25"/>
      <c r="O38" s="42"/>
      <c r="P38" s="42"/>
      <c r="Q38" s="42"/>
      <c r="R38" s="42"/>
      <c r="S38" s="41"/>
      <c r="T38" s="25">
        <f t="shared" si="3"/>
        <v>45</v>
      </c>
      <c r="U38" s="41">
        <v>3</v>
      </c>
    </row>
    <row r="39" spans="1:21" ht="51">
      <c r="A39" s="277" t="s">
        <v>27</v>
      </c>
      <c r="B39" s="278" t="s">
        <v>696</v>
      </c>
      <c r="C39" s="287" t="s">
        <v>697</v>
      </c>
      <c r="D39" s="290" t="s">
        <v>449</v>
      </c>
      <c r="E39" s="281" t="s">
        <v>698</v>
      </c>
      <c r="F39" s="282">
        <v>1</v>
      </c>
      <c r="G39" s="283">
        <v>1</v>
      </c>
      <c r="H39" s="284">
        <v>15</v>
      </c>
      <c r="I39" s="284">
        <v>15</v>
      </c>
      <c r="J39" s="284">
        <v>15</v>
      </c>
      <c r="K39" s="284">
        <v>15</v>
      </c>
      <c r="L39" s="284"/>
      <c r="M39" s="285"/>
      <c r="N39" s="284"/>
      <c r="O39" s="286"/>
      <c r="P39" s="286"/>
      <c r="Q39" s="286"/>
      <c r="R39" s="286"/>
      <c r="S39" s="285"/>
      <c r="T39" s="284">
        <f t="shared" si="3"/>
        <v>30</v>
      </c>
      <c r="U39" s="285">
        <v>3</v>
      </c>
    </row>
    <row r="40" spans="1:21" ht="76.5">
      <c r="A40" s="277" t="s">
        <v>27</v>
      </c>
      <c r="B40" s="278" t="s">
        <v>512</v>
      </c>
      <c r="C40" s="287" t="s">
        <v>699</v>
      </c>
      <c r="D40" s="290" t="s">
        <v>78</v>
      </c>
      <c r="E40" s="281">
        <v>21</v>
      </c>
      <c r="F40" s="282">
        <v>1</v>
      </c>
      <c r="G40" s="283">
        <v>1</v>
      </c>
      <c r="H40" s="284">
        <v>30</v>
      </c>
      <c r="I40" s="284">
        <v>30</v>
      </c>
      <c r="J40" s="284">
        <v>15</v>
      </c>
      <c r="K40" s="284">
        <v>15</v>
      </c>
      <c r="L40" s="284"/>
      <c r="M40" s="285"/>
      <c r="N40" s="284"/>
      <c r="O40" s="286"/>
      <c r="P40" s="286"/>
      <c r="Q40" s="286"/>
      <c r="R40" s="286"/>
      <c r="S40" s="285"/>
      <c r="T40" s="284">
        <f t="shared" si="3"/>
        <v>45</v>
      </c>
      <c r="U40" s="285">
        <v>4</v>
      </c>
    </row>
    <row r="41" spans="1:21" ht="51">
      <c r="A41" s="277" t="s">
        <v>27</v>
      </c>
      <c r="B41" s="297" t="s">
        <v>517</v>
      </c>
      <c r="C41" s="279" t="s">
        <v>700</v>
      </c>
      <c r="D41" s="280" t="s">
        <v>457</v>
      </c>
      <c r="E41" s="281">
        <v>13</v>
      </c>
      <c r="F41" s="282">
        <v>1</v>
      </c>
      <c r="G41" s="283">
        <v>1</v>
      </c>
      <c r="H41" s="284">
        <v>45</v>
      </c>
      <c r="I41" s="284">
        <v>45</v>
      </c>
      <c r="J41" s="284">
        <v>30</v>
      </c>
      <c r="K41" s="284">
        <v>30</v>
      </c>
      <c r="L41" s="298"/>
      <c r="M41" s="299"/>
      <c r="N41" s="298"/>
      <c r="O41" s="300"/>
      <c r="P41" s="300"/>
      <c r="Q41" s="300"/>
      <c r="R41" s="300"/>
      <c r="S41" s="299"/>
      <c r="T41" s="284">
        <f t="shared" si="3"/>
        <v>75</v>
      </c>
      <c r="U41" s="299">
        <v>7</v>
      </c>
    </row>
    <row r="42" spans="1:21" ht="51">
      <c r="A42" s="277" t="s">
        <v>27</v>
      </c>
      <c r="B42" s="297" t="s">
        <v>515</v>
      </c>
      <c r="C42" s="279" t="s">
        <v>701</v>
      </c>
      <c r="D42" s="280" t="s">
        <v>457</v>
      </c>
      <c r="E42" s="281">
        <v>8</v>
      </c>
      <c r="F42" s="282">
        <v>1</v>
      </c>
      <c r="G42" s="283">
        <v>1</v>
      </c>
      <c r="H42" s="284">
        <v>45</v>
      </c>
      <c r="I42" s="284">
        <v>45</v>
      </c>
      <c r="J42" s="284">
        <v>30</v>
      </c>
      <c r="K42" s="284">
        <v>30</v>
      </c>
      <c r="L42" s="298"/>
      <c r="M42" s="299"/>
      <c r="N42" s="298"/>
      <c r="O42" s="300"/>
      <c r="P42" s="300"/>
      <c r="Q42" s="300"/>
      <c r="R42" s="300"/>
      <c r="S42" s="299"/>
      <c r="T42" s="284">
        <f t="shared" si="3"/>
        <v>75</v>
      </c>
      <c r="U42" s="299">
        <v>7</v>
      </c>
    </row>
    <row r="43" spans="1:21" ht="51">
      <c r="A43" s="277" t="s">
        <v>27</v>
      </c>
      <c r="B43" s="297" t="s">
        <v>515</v>
      </c>
      <c r="C43" s="279" t="s">
        <v>702</v>
      </c>
      <c r="D43" s="280" t="s">
        <v>457</v>
      </c>
      <c r="E43" s="281">
        <v>8</v>
      </c>
      <c r="F43" s="282">
        <v>1</v>
      </c>
      <c r="G43" s="283">
        <v>1</v>
      </c>
      <c r="H43" s="284">
        <v>30</v>
      </c>
      <c r="I43" s="284">
        <v>30</v>
      </c>
      <c r="J43" s="284">
        <v>15</v>
      </c>
      <c r="K43" s="284">
        <v>15</v>
      </c>
      <c r="L43" s="284"/>
      <c r="M43" s="285"/>
      <c r="N43" s="284"/>
      <c r="O43" s="286"/>
      <c r="P43" s="286"/>
      <c r="Q43" s="286"/>
      <c r="R43" s="286"/>
      <c r="S43" s="285"/>
      <c r="T43" s="284">
        <f t="shared" si="3"/>
        <v>45</v>
      </c>
      <c r="U43" s="285">
        <v>4</v>
      </c>
    </row>
    <row r="44" spans="1:21" ht="51">
      <c r="A44" s="277" t="s">
        <v>27</v>
      </c>
      <c r="B44" s="297" t="s">
        <v>589</v>
      </c>
      <c r="C44" s="279" t="s">
        <v>703</v>
      </c>
      <c r="D44" s="280" t="s">
        <v>79</v>
      </c>
      <c r="E44" s="281">
        <v>17</v>
      </c>
      <c r="F44" s="282">
        <v>1</v>
      </c>
      <c r="G44" s="283">
        <v>1</v>
      </c>
      <c r="H44" s="284">
        <v>30</v>
      </c>
      <c r="I44" s="284">
        <v>30</v>
      </c>
      <c r="J44" s="284">
        <v>15</v>
      </c>
      <c r="K44" s="284">
        <v>15</v>
      </c>
      <c r="L44" s="284"/>
      <c r="M44" s="285"/>
      <c r="N44" s="284"/>
      <c r="O44" s="286"/>
      <c r="P44" s="286"/>
      <c r="Q44" s="286"/>
      <c r="R44" s="286"/>
      <c r="S44" s="285"/>
      <c r="T44" s="284">
        <f t="shared" si="3"/>
        <v>45</v>
      </c>
      <c r="U44" s="285">
        <v>4</v>
      </c>
    </row>
    <row r="45" spans="1:21" ht="38.25">
      <c r="A45" s="277" t="s">
        <v>27</v>
      </c>
      <c r="B45" s="297" t="s">
        <v>589</v>
      </c>
      <c r="C45" s="279" t="s">
        <v>704</v>
      </c>
      <c r="D45" s="280" t="s">
        <v>79</v>
      </c>
      <c r="E45" s="281">
        <v>17</v>
      </c>
      <c r="F45" s="282">
        <v>1</v>
      </c>
      <c r="G45" s="283">
        <v>1</v>
      </c>
      <c r="H45" s="284">
        <v>45</v>
      </c>
      <c r="I45" s="284">
        <v>45</v>
      </c>
      <c r="J45" s="284">
        <v>45</v>
      </c>
      <c r="K45" s="284">
        <v>45</v>
      </c>
      <c r="L45" s="284"/>
      <c r="M45" s="285"/>
      <c r="N45" s="284"/>
      <c r="O45" s="286"/>
      <c r="P45" s="286"/>
      <c r="Q45" s="286"/>
      <c r="R45" s="286"/>
      <c r="S45" s="285"/>
      <c r="T45" s="284">
        <f t="shared" si="3"/>
        <v>90</v>
      </c>
      <c r="U45" s="285">
        <v>7</v>
      </c>
    </row>
    <row r="46" spans="1:21" ht="38.25">
      <c r="A46" s="277" t="s">
        <v>27</v>
      </c>
      <c r="B46" s="279" t="s">
        <v>591</v>
      </c>
      <c r="C46" s="279" t="s">
        <v>704</v>
      </c>
      <c r="D46" s="280" t="s">
        <v>79</v>
      </c>
      <c r="E46" s="281">
        <v>13</v>
      </c>
      <c r="F46" s="282">
        <v>1</v>
      </c>
      <c r="G46" s="283">
        <v>1</v>
      </c>
      <c r="H46" s="284">
        <v>45</v>
      </c>
      <c r="I46" s="284">
        <v>45</v>
      </c>
      <c r="J46" s="284">
        <v>45</v>
      </c>
      <c r="K46" s="284">
        <v>45</v>
      </c>
      <c r="L46" s="284"/>
      <c r="M46" s="285"/>
      <c r="N46" s="284"/>
      <c r="O46" s="286"/>
      <c r="P46" s="286"/>
      <c r="Q46" s="286"/>
      <c r="R46" s="286"/>
      <c r="S46" s="285"/>
      <c r="T46" s="284">
        <f t="shared" ref="T46:T50" si="4">(I46+K46+M46+N46+O46+P46+Q46+R46+S46)</f>
        <v>90</v>
      </c>
      <c r="U46" s="285">
        <v>7</v>
      </c>
    </row>
    <row r="47" spans="1:21">
      <c r="A47" s="277" t="s">
        <v>27</v>
      </c>
      <c r="B47" s="287" t="s">
        <v>183</v>
      </c>
      <c r="C47" s="301" t="s">
        <v>683</v>
      </c>
      <c r="D47" s="279" t="s">
        <v>29</v>
      </c>
      <c r="E47" s="281">
        <v>9</v>
      </c>
      <c r="F47" s="282">
        <v>1</v>
      </c>
      <c r="G47" s="283">
        <v>1</v>
      </c>
      <c r="H47" s="284">
        <v>5</v>
      </c>
      <c r="I47" s="284">
        <v>5</v>
      </c>
      <c r="J47" s="284">
        <v>5</v>
      </c>
      <c r="K47" s="284">
        <v>5</v>
      </c>
      <c r="L47" s="284"/>
      <c r="M47" s="285"/>
      <c r="N47" s="284"/>
      <c r="O47" s="286"/>
      <c r="P47" s="286"/>
      <c r="Q47" s="286"/>
      <c r="R47" s="286"/>
      <c r="S47" s="285"/>
      <c r="T47" s="284">
        <f t="shared" si="4"/>
        <v>10</v>
      </c>
      <c r="U47" s="285">
        <v>4</v>
      </c>
    </row>
    <row r="48" spans="1:21" ht="76.5">
      <c r="A48" s="277" t="s">
        <v>27</v>
      </c>
      <c r="B48" s="297" t="s">
        <v>184</v>
      </c>
      <c r="C48" s="287" t="s">
        <v>705</v>
      </c>
      <c r="D48" s="279" t="s">
        <v>29</v>
      </c>
      <c r="E48" s="281">
        <v>10</v>
      </c>
      <c r="F48" s="282">
        <v>1</v>
      </c>
      <c r="G48" s="283">
        <v>1</v>
      </c>
      <c r="H48" s="284">
        <v>5</v>
      </c>
      <c r="I48" s="285">
        <v>5</v>
      </c>
      <c r="J48" s="284">
        <v>5</v>
      </c>
      <c r="K48" s="285">
        <v>5</v>
      </c>
      <c r="L48" s="284"/>
      <c r="M48" s="285"/>
      <c r="N48" s="284"/>
      <c r="O48" s="286"/>
      <c r="P48" s="286"/>
      <c r="Q48" s="286"/>
      <c r="R48" s="286"/>
      <c r="S48" s="285"/>
      <c r="T48" s="284">
        <f t="shared" si="4"/>
        <v>10</v>
      </c>
      <c r="U48" s="285">
        <v>3</v>
      </c>
    </row>
    <row r="49" spans="1:21" ht="25.5">
      <c r="A49" s="277" t="s">
        <v>27</v>
      </c>
      <c r="B49" s="297" t="s">
        <v>706</v>
      </c>
      <c r="C49" s="287" t="s">
        <v>707</v>
      </c>
      <c r="D49" s="302" t="s">
        <v>78</v>
      </c>
      <c r="E49" s="281" t="s">
        <v>50</v>
      </c>
      <c r="F49" s="282">
        <v>1</v>
      </c>
      <c r="G49" s="283">
        <v>1</v>
      </c>
      <c r="H49" s="284">
        <v>15</v>
      </c>
      <c r="I49" s="285">
        <v>15</v>
      </c>
      <c r="J49" s="284">
        <v>10</v>
      </c>
      <c r="K49" s="285">
        <v>10</v>
      </c>
      <c r="L49" s="284"/>
      <c r="M49" s="285"/>
      <c r="N49" s="284"/>
      <c r="O49" s="286"/>
      <c r="P49" s="286"/>
      <c r="Q49" s="286"/>
      <c r="R49" s="286"/>
      <c r="S49" s="285"/>
      <c r="T49" s="284">
        <f t="shared" si="4"/>
        <v>25</v>
      </c>
      <c r="U49" s="285">
        <v>7</v>
      </c>
    </row>
    <row r="50" spans="1:21">
      <c r="A50" s="277" t="s">
        <v>27</v>
      </c>
      <c r="B50" s="297" t="s">
        <v>531</v>
      </c>
      <c r="C50" s="287" t="s">
        <v>708</v>
      </c>
      <c r="D50" s="302" t="s">
        <v>78</v>
      </c>
      <c r="E50" s="281">
        <v>7</v>
      </c>
      <c r="F50" s="282">
        <v>1</v>
      </c>
      <c r="G50" s="283">
        <v>1</v>
      </c>
      <c r="H50" s="284">
        <v>15</v>
      </c>
      <c r="I50" s="285">
        <v>15</v>
      </c>
      <c r="J50" s="284">
        <v>15</v>
      </c>
      <c r="K50" s="285">
        <v>15</v>
      </c>
      <c r="L50" s="284"/>
      <c r="M50" s="285"/>
      <c r="N50" s="284"/>
      <c r="O50" s="286"/>
      <c r="P50" s="286"/>
      <c r="Q50" s="286"/>
      <c r="R50" s="286"/>
      <c r="S50" s="285"/>
      <c r="T50" s="284">
        <f t="shared" si="4"/>
        <v>30</v>
      </c>
      <c r="U50" s="285">
        <v>7</v>
      </c>
    </row>
    <row r="51" spans="1:21" ht="38.25">
      <c r="A51" s="277" t="s">
        <v>27</v>
      </c>
      <c r="B51" s="297" t="s">
        <v>709</v>
      </c>
      <c r="C51" s="287" t="s">
        <v>691</v>
      </c>
      <c r="D51" s="302" t="s">
        <v>78</v>
      </c>
      <c r="E51" s="281" t="s">
        <v>50</v>
      </c>
      <c r="F51" s="282">
        <v>1</v>
      </c>
      <c r="G51" s="283">
        <v>1</v>
      </c>
      <c r="H51" s="284">
        <v>15</v>
      </c>
      <c r="I51" s="285">
        <v>15</v>
      </c>
      <c r="J51" s="284">
        <v>15</v>
      </c>
      <c r="K51" s="285">
        <v>15</v>
      </c>
      <c r="L51" s="284"/>
      <c r="M51" s="285"/>
      <c r="N51" s="284"/>
      <c r="O51" s="286"/>
      <c r="P51" s="286"/>
      <c r="Q51" s="286"/>
      <c r="R51" s="286"/>
      <c r="S51" s="285"/>
      <c r="T51" s="284">
        <f t="shared" ref="T51:T69" si="5">(I51+K51+M51+N51+O51+P51+Q51+R51+S51)</f>
        <v>30</v>
      </c>
      <c r="U51" s="285">
        <v>7</v>
      </c>
    </row>
    <row r="52" spans="1:21" ht="38.25">
      <c r="A52" s="277" t="s">
        <v>27</v>
      </c>
      <c r="B52" s="287" t="s">
        <v>535</v>
      </c>
      <c r="C52" s="292" t="s">
        <v>710</v>
      </c>
      <c r="D52" s="280" t="s">
        <v>457</v>
      </c>
      <c r="E52" s="281">
        <v>5</v>
      </c>
      <c r="F52" s="282">
        <v>1</v>
      </c>
      <c r="G52" s="283">
        <v>1</v>
      </c>
      <c r="H52" s="284">
        <v>10</v>
      </c>
      <c r="I52" s="285">
        <v>10</v>
      </c>
      <c r="J52" s="284">
        <v>10</v>
      </c>
      <c r="K52" s="285">
        <v>10</v>
      </c>
      <c r="L52" s="284"/>
      <c r="M52" s="285"/>
      <c r="N52" s="284"/>
      <c r="O52" s="286"/>
      <c r="P52" s="286"/>
      <c r="Q52" s="286"/>
      <c r="R52" s="286"/>
      <c r="S52" s="285"/>
      <c r="T52" s="284">
        <f t="shared" si="5"/>
        <v>20</v>
      </c>
      <c r="U52" s="285">
        <v>5</v>
      </c>
    </row>
    <row r="53" spans="1:21">
      <c r="A53" s="277" t="s">
        <v>27</v>
      </c>
      <c r="B53" s="287" t="s">
        <v>593</v>
      </c>
      <c r="C53" s="301" t="s">
        <v>690</v>
      </c>
      <c r="D53" s="280" t="s">
        <v>457</v>
      </c>
      <c r="E53" s="281">
        <v>10</v>
      </c>
      <c r="F53" s="282">
        <v>1</v>
      </c>
      <c r="G53" s="283">
        <v>1</v>
      </c>
      <c r="H53" s="284">
        <v>15</v>
      </c>
      <c r="I53" s="285">
        <v>15</v>
      </c>
      <c r="J53" s="284">
        <v>10</v>
      </c>
      <c r="K53" s="285">
        <v>10</v>
      </c>
      <c r="L53" s="284"/>
      <c r="M53" s="285"/>
      <c r="N53" s="284"/>
      <c r="O53" s="286"/>
      <c r="P53" s="286"/>
      <c r="Q53" s="286"/>
      <c r="R53" s="286"/>
      <c r="S53" s="285"/>
      <c r="T53" s="284">
        <f t="shared" si="5"/>
        <v>25</v>
      </c>
      <c r="U53" s="285">
        <v>6</v>
      </c>
    </row>
    <row r="54" spans="1:21" ht="38.25">
      <c r="A54" s="277" t="s">
        <v>27</v>
      </c>
      <c r="B54" s="287" t="s">
        <v>593</v>
      </c>
      <c r="C54" s="279" t="s">
        <v>711</v>
      </c>
      <c r="D54" s="280" t="s">
        <v>457</v>
      </c>
      <c r="E54" s="281">
        <v>10</v>
      </c>
      <c r="F54" s="282">
        <v>1</v>
      </c>
      <c r="G54" s="283">
        <v>1</v>
      </c>
      <c r="H54" s="284">
        <v>10</v>
      </c>
      <c r="I54" s="285">
        <v>10</v>
      </c>
      <c r="J54" s="284">
        <v>5</v>
      </c>
      <c r="K54" s="285">
        <v>5</v>
      </c>
      <c r="L54" s="284"/>
      <c r="M54" s="285"/>
      <c r="N54" s="284"/>
      <c r="O54" s="286"/>
      <c r="P54" s="286"/>
      <c r="Q54" s="286"/>
      <c r="R54" s="286"/>
      <c r="S54" s="285"/>
      <c r="T54" s="284">
        <f t="shared" si="5"/>
        <v>15</v>
      </c>
      <c r="U54" s="285">
        <v>5</v>
      </c>
    </row>
    <row r="55" spans="1:21" ht="38.25">
      <c r="A55" s="277" t="s">
        <v>27</v>
      </c>
      <c r="B55" s="278" t="s">
        <v>593</v>
      </c>
      <c r="C55" s="279" t="s">
        <v>712</v>
      </c>
      <c r="D55" s="280" t="s">
        <v>457</v>
      </c>
      <c r="E55" s="281">
        <v>10</v>
      </c>
      <c r="F55" s="282">
        <v>1</v>
      </c>
      <c r="G55" s="283">
        <v>1</v>
      </c>
      <c r="H55" s="284">
        <v>10</v>
      </c>
      <c r="I55" s="285">
        <v>10</v>
      </c>
      <c r="J55" s="284">
        <v>5</v>
      </c>
      <c r="K55" s="285">
        <v>5</v>
      </c>
      <c r="L55" s="284"/>
      <c r="M55" s="285"/>
      <c r="N55" s="284"/>
      <c r="O55" s="286"/>
      <c r="P55" s="286"/>
      <c r="Q55" s="286"/>
      <c r="R55" s="286"/>
      <c r="S55" s="285"/>
      <c r="T55" s="284">
        <f t="shared" si="5"/>
        <v>15</v>
      </c>
      <c r="U55" s="285">
        <v>5</v>
      </c>
    </row>
    <row r="56" spans="1:21" ht="51">
      <c r="A56" s="277" t="s">
        <v>27</v>
      </c>
      <c r="B56" s="287" t="s">
        <v>536</v>
      </c>
      <c r="C56" s="279" t="s">
        <v>713</v>
      </c>
      <c r="D56" s="280" t="s">
        <v>79</v>
      </c>
      <c r="E56" s="281">
        <v>10</v>
      </c>
      <c r="F56" s="282">
        <v>1</v>
      </c>
      <c r="G56" s="283">
        <v>1</v>
      </c>
      <c r="H56" s="284">
        <v>5</v>
      </c>
      <c r="I56" s="285">
        <v>5</v>
      </c>
      <c r="J56" s="284">
        <v>5</v>
      </c>
      <c r="K56" s="285">
        <v>5</v>
      </c>
      <c r="L56" s="284"/>
      <c r="M56" s="285"/>
      <c r="N56" s="284"/>
      <c r="O56" s="286"/>
      <c r="P56" s="286"/>
      <c r="Q56" s="286"/>
      <c r="R56" s="286"/>
      <c r="S56" s="285"/>
      <c r="T56" s="284">
        <f t="shared" si="5"/>
        <v>10</v>
      </c>
      <c r="U56" s="285">
        <v>3</v>
      </c>
    </row>
    <row r="57" spans="1:21" ht="51">
      <c r="A57" s="277" t="s">
        <v>27</v>
      </c>
      <c r="B57" s="287" t="s">
        <v>536</v>
      </c>
      <c r="C57" s="279" t="s">
        <v>703</v>
      </c>
      <c r="D57" s="280" t="s">
        <v>79</v>
      </c>
      <c r="E57" s="281">
        <v>10</v>
      </c>
      <c r="F57" s="282">
        <v>1</v>
      </c>
      <c r="G57" s="283">
        <v>1</v>
      </c>
      <c r="H57" s="284">
        <v>10</v>
      </c>
      <c r="I57" s="285">
        <v>10</v>
      </c>
      <c r="J57" s="284">
        <v>5</v>
      </c>
      <c r="K57" s="285">
        <v>5</v>
      </c>
      <c r="L57" s="284"/>
      <c r="M57" s="285"/>
      <c r="N57" s="284"/>
      <c r="O57" s="286"/>
      <c r="P57" s="286"/>
      <c r="Q57" s="286"/>
      <c r="R57" s="286"/>
      <c r="S57" s="285"/>
      <c r="T57" s="284">
        <f t="shared" si="5"/>
        <v>15</v>
      </c>
      <c r="U57" s="285">
        <v>5</v>
      </c>
    </row>
    <row r="58" spans="1:21">
      <c r="A58" s="277" t="s">
        <v>27</v>
      </c>
      <c r="B58" s="287" t="s">
        <v>595</v>
      </c>
      <c r="C58" s="287" t="s">
        <v>714</v>
      </c>
      <c r="D58" s="280" t="s">
        <v>79</v>
      </c>
      <c r="E58" s="281">
        <v>5</v>
      </c>
      <c r="F58" s="282">
        <v>1</v>
      </c>
      <c r="G58" s="283">
        <v>1</v>
      </c>
      <c r="H58" s="284">
        <v>15</v>
      </c>
      <c r="I58" s="285">
        <v>15</v>
      </c>
      <c r="J58" s="284">
        <v>10</v>
      </c>
      <c r="K58" s="285">
        <v>10</v>
      </c>
      <c r="L58" s="284"/>
      <c r="M58" s="285"/>
      <c r="N58" s="284"/>
      <c r="O58" s="286"/>
      <c r="P58" s="286"/>
      <c r="Q58" s="286"/>
      <c r="R58" s="286"/>
      <c r="S58" s="285"/>
      <c r="T58" s="284">
        <f t="shared" si="5"/>
        <v>25</v>
      </c>
      <c r="U58" s="285">
        <v>7</v>
      </c>
    </row>
    <row r="59" spans="1:21">
      <c r="A59" s="277" t="s">
        <v>27</v>
      </c>
      <c r="B59" s="287" t="s">
        <v>715</v>
      </c>
      <c r="C59" s="287" t="s">
        <v>716</v>
      </c>
      <c r="D59" s="280" t="s">
        <v>79</v>
      </c>
      <c r="E59" s="281">
        <v>4</v>
      </c>
      <c r="F59" s="282">
        <v>1</v>
      </c>
      <c r="G59" s="283">
        <v>1</v>
      </c>
      <c r="H59" s="284">
        <v>10</v>
      </c>
      <c r="I59" s="303">
        <v>10</v>
      </c>
      <c r="J59" s="284">
        <v>10</v>
      </c>
      <c r="K59" s="303">
        <v>10</v>
      </c>
      <c r="L59" s="284"/>
      <c r="M59" s="303"/>
      <c r="N59" s="284"/>
      <c r="O59" s="286"/>
      <c r="P59" s="286"/>
      <c r="Q59" s="286"/>
      <c r="R59" s="286"/>
      <c r="S59" s="285"/>
      <c r="T59" s="284">
        <f t="shared" si="5"/>
        <v>20</v>
      </c>
      <c r="U59" s="285">
        <v>5</v>
      </c>
    </row>
    <row r="60" spans="1:21" ht="51">
      <c r="A60" s="277" t="s">
        <v>27</v>
      </c>
      <c r="B60" s="287" t="s">
        <v>715</v>
      </c>
      <c r="C60" s="287" t="s">
        <v>717</v>
      </c>
      <c r="D60" s="280" t="s">
        <v>79</v>
      </c>
      <c r="E60" s="281">
        <v>4</v>
      </c>
      <c r="F60" s="282">
        <v>1</v>
      </c>
      <c r="G60" s="283">
        <v>1</v>
      </c>
      <c r="H60" s="284">
        <v>10</v>
      </c>
      <c r="I60" s="284">
        <v>10</v>
      </c>
      <c r="J60" s="284">
        <v>5</v>
      </c>
      <c r="K60" s="284">
        <v>5</v>
      </c>
      <c r="L60" s="284"/>
      <c r="M60" s="285"/>
      <c r="N60" s="284"/>
      <c r="O60" s="286"/>
      <c r="P60" s="286"/>
      <c r="Q60" s="286"/>
      <c r="R60" s="286"/>
      <c r="S60" s="285"/>
      <c r="T60" s="284">
        <f t="shared" si="5"/>
        <v>15</v>
      </c>
      <c r="U60" s="285">
        <v>4</v>
      </c>
    </row>
    <row r="61" spans="1:21" ht="51">
      <c r="A61" s="277" t="s">
        <v>27</v>
      </c>
      <c r="B61" s="287" t="s">
        <v>715</v>
      </c>
      <c r="C61" s="287" t="s">
        <v>718</v>
      </c>
      <c r="D61" s="280" t="s">
        <v>79</v>
      </c>
      <c r="E61" s="281">
        <v>4</v>
      </c>
      <c r="F61" s="282">
        <v>1</v>
      </c>
      <c r="G61" s="283">
        <v>1</v>
      </c>
      <c r="H61" s="284">
        <v>10</v>
      </c>
      <c r="I61" s="284">
        <v>10</v>
      </c>
      <c r="J61" s="284">
        <v>5</v>
      </c>
      <c r="K61" s="284">
        <v>5</v>
      </c>
      <c r="L61" s="284"/>
      <c r="M61" s="285"/>
      <c r="N61" s="284"/>
      <c r="O61" s="286"/>
      <c r="P61" s="286"/>
      <c r="Q61" s="286"/>
      <c r="R61" s="286"/>
      <c r="S61" s="285"/>
      <c r="T61" s="284">
        <f t="shared" si="5"/>
        <v>15</v>
      </c>
      <c r="U61" s="285">
        <v>4</v>
      </c>
    </row>
    <row r="62" spans="1:21" ht="38.25">
      <c r="A62" s="87" t="s">
        <v>27</v>
      </c>
      <c r="B62" s="19" t="s">
        <v>48</v>
      </c>
      <c r="C62" s="51" t="s">
        <v>670</v>
      </c>
      <c r="D62" s="33" t="s">
        <v>719</v>
      </c>
      <c r="E62" s="35" t="s">
        <v>49</v>
      </c>
      <c r="F62" s="23">
        <v>1</v>
      </c>
      <c r="G62" s="24">
        <v>1</v>
      </c>
      <c r="H62" s="25">
        <v>60</v>
      </c>
      <c r="I62" s="25">
        <v>60</v>
      </c>
      <c r="J62" s="25">
        <v>30</v>
      </c>
      <c r="K62" s="25">
        <v>30</v>
      </c>
      <c r="L62" s="25"/>
      <c r="M62" s="41"/>
      <c r="N62" s="25"/>
      <c r="O62" s="42"/>
      <c r="P62" s="42"/>
      <c r="Q62" s="42"/>
      <c r="R62" s="42"/>
      <c r="S62" s="41"/>
      <c r="T62" s="25">
        <f t="shared" si="5"/>
        <v>90</v>
      </c>
      <c r="U62" s="41">
        <v>8</v>
      </c>
    </row>
    <row r="63" spans="1:21">
      <c r="A63" s="277" t="s">
        <v>27</v>
      </c>
      <c r="B63" s="287" t="s">
        <v>58</v>
      </c>
      <c r="C63" s="279" t="s">
        <v>720</v>
      </c>
      <c r="D63" s="295" t="s">
        <v>56</v>
      </c>
      <c r="E63" s="281">
        <v>9</v>
      </c>
      <c r="F63" s="282">
        <v>1</v>
      </c>
      <c r="G63" s="283">
        <v>1</v>
      </c>
      <c r="H63" s="284">
        <v>15</v>
      </c>
      <c r="I63" s="284">
        <v>15</v>
      </c>
      <c r="J63" s="284">
        <v>15</v>
      </c>
      <c r="K63" s="284">
        <v>15</v>
      </c>
      <c r="L63" s="284"/>
      <c r="M63" s="285"/>
      <c r="N63" s="284"/>
      <c r="O63" s="286"/>
      <c r="P63" s="286"/>
      <c r="Q63" s="286"/>
      <c r="R63" s="286"/>
      <c r="S63" s="285"/>
      <c r="T63" s="284">
        <f t="shared" si="5"/>
        <v>30</v>
      </c>
      <c r="U63" s="285">
        <v>3</v>
      </c>
    </row>
    <row r="64" spans="1:21" ht="38.25">
      <c r="A64" s="277" t="s">
        <v>27</v>
      </c>
      <c r="B64" s="287" t="s">
        <v>59</v>
      </c>
      <c r="C64" s="279" t="s">
        <v>721</v>
      </c>
      <c r="D64" s="295" t="s">
        <v>60</v>
      </c>
      <c r="E64" s="281">
        <v>10</v>
      </c>
      <c r="F64" s="282">
        <v>1</v>
      </c>
      <c r="G64" s="283">
        <v>1</v>
      </c>
      <c r="H64" s="284">
        <v>45</v>
      </c>
      <c r="I64" s="284">
        <v>45</v>
      </c>
      <c r="J64" s="284">
        <v>45</v>
      </c>
      <c r="K64" s="284">
        <v>45</v>
      </c>
      <c r="L64" s="284"/>
      <c r="M64" s="285"/>
      <c r="N64" s="284"/>
      <c r="O64" s="286"/>
      <c r="P64" s="286"/>
      <c r="Q64" s="286"/>
      <c r="R64" s="286"/>
      <c r="S64" s="285"/>
      <c r="T64" s="284">
        <f t="shared" si="5"/>
        <v>90</v>
      </c>
      <c r="U64" s="285">
        <v>8</v>
      </c>
    </row>
    <row r="65" spans="1:21" ht="38.25">
      <c r="A65" s="93" t="s">
        <v>27</v>
      </c>
      <c r="B65" s="27" t="s">
        <v>806</v>
      </c>
      <c r="C65" s="55" t="s">
        <v>47</v>
      </c>
      <c r="D65" s="26" t="s">
        <v>723</v>
      </c>
      <c r="E65" s="29">
        <v>8</v>
      </c>
      <c r="F65" s="30">
        <v>1</v>
      </c>
      <c r="G65" s="31">
        <v>1</v>
      </c>
      <c r="H65" s="32">
        <v>30</v>
      </c>
      <c r="I65" s="32">
        <v>30</v>
      </c>
      <c r="J65" s="32">
        <v>15</v>
      </c>
      <c r="K65" s="32">
        <v>15</v>
      </c>
      <c r="L65" s="32"/>
      <c r="M65" s="43"/>
      <c r="N65" s="32"/>
      <c r="O65" s="44"/>
      <c r="P65" s="44"/>
      <c r="Q65" s="44"/>
      <c r="R65" s="44"/>
      <c r="S65" s="43"/>
      <c r="T65" s="32">
        <f t="shared" si="5"/>
        <v>45</v>
      </c>
      <c r="U65" s="43">
        <v>6</v>
      </c>
    </row>
    <row r="66" spans="1:21" ht="38.25">
      <c r="A66" s="93" t="s">
        <v>27</v>
      </c>
      <c r="B66" s="27" t="s">
        <v>806</v>
      </c>
      <c r="C66" s="55" t="s">
        <v>724</v>
      </c>
      <c r="D66" s="26" t="s">
        <v>723</v>
      </c>
      <c r="E66" s="29">
        <v>8</v>
      </c>
      <c r="F66" s="30">
        <v>1</v>
      </c>
      <c r="G66" s="31">
        <v>1</v>
      </c>
      <c r="H66" s="32">
        <v>30</v>
      </c>
      <c r="I66" s="32">
        <v>30</v>
      </c>
      <c r="J66" s="32">
        <v>15</v>
      </c>
      <c r="K66" s="32">
        <v>15</v>
      </c>
      <c r="L66" s="32"/>
      <c r="M66" s="43"/>
      <c r="N66" s="32"/>
      <c r="O66" s="44"/>
      <c r="P66" s="44"/>
      <c r="Q66" s="44"/>
      <c r="R66" s="44"/>
      <c r="S66" s="43"/>
      <c r="T66" s="32">
        <f t="shared" si="5"/>
        <v>45</v>
      </c>
      <c r="U66" s="43">
        <v>6</v>
      </c>
    </row>
    <row r="67" spans="1:21" ht="38.25">
      <c r="A67" s="93" t="s">
        <v>27</v>
      </c>
      <c r="B67" s="27" t="s">
        <v>806</v>
      </c>
      <c r="C67" s="55" t="s">
        <v>633</v>
      </c>
      <c r="D67" s="26" t="s">
        <v>723</v>
      </c>
      <c r="E67" s="29">
        <v>8</v>
      </c>
      <c r="F67" s="30">
        <v>1</v>
      </c>
      <c r="G67" s="31">
        <v>1</v>
      </c>
      <c r="H67" s="32">
        <v>30</v>
      </c>
      <c r="I67" s="32">
        <v>30</v>
      </c>
      <c r="J67" s="32">
        <v>15</v>
      </c>
      <c r="K67" s="32">
        <v>15</v>
      </c>
      <c r="L67" s="32"/>
      <c r="M67" s="43"/>
      <c r="N67" s="32"/>
      <c r="O67" s="44"/>
      <c r="P67" s="44"/>
      <c r="Q67" s="44"/>
      <c r="R67" s="44"/>
      <c r="S67" s="43"/>
      <c r="T67" s="32">
        <f t="shared" si="5"/>
        <v>45</v>
      </c>
      <c r="U67" s="43">
        <v>6</v>
      </c>
    </row>
    <row r="68" spans="1:21" ht="38.25">
      <c r="A68" s="93" t="s">
        <v>27</v>
      </c>
      <c r="B68" s="27" t="s">
        <v>806</v>
      </c>
      <c r="C68" s="55" t="s">
        <v>725</v>
      </c>
      <c r="D68" s="26" t="s">
        <v>723</v>
      </c>
      <c r="E68" s="29">
        <v>8</v>
      </c>
      <c r="F68" s="30">
        <v>1</v>
      </c>
      <c r="G68" s="31">
        <v>1</v>
      </c>
      <c r="H68" s="32">
        <v>30</v>
      </c>
      <c r="I68" s="32">
        <v>30</v>
      </c>
      <c r="J68" s="32">
        <v>15</v>
      </c>
      <c r="K68" s="32">
        <v>15</v>
      </c>
      <c r="L68" s="32"/>
      <c r="M68" s="43"/>
      <c r="N68" s="32"/>
      <c r="O68" s="44"/>
      <c r="P68" s="44"/>
      <c r="Q68" s="44"/>
      <c r="R68" s="44"/>
      <c r="S68" s="43"/>
      <c r="T68" s="32">
        <f t="shared" si="5"/>
        <v>45</v>
      </c>
      <c r="U68" s="43">
        <v>6</v>
      </c>
    </row>
    <row r="69" spans="1:21" ht="63.75">
      <c r="A69" s="93" t="s">
        <v>27</v>
      </c>
      <c r="B69" s="27" t="s">
        <v>806</v>
      </c>
      <c r="C69" s="55" t="s">
        <v>726</v>
      </c>
      <c r="D69" s="26" t="s">
        <v>723</v>
      </c>
      <c r="E69" s="29">
        <v>8</v>
      </c>
      <c r="F69" s="30">
        <v>1</v>
      </c>
      <c r="G69" s="31">
        <v>1</v>
      </c>
      <c r="H69" s="32">
        <v>30</v>
      </c>
      <c r="I69" s="32">
        <v>30</v>
      </c>
      <c r="J69" s="32">
        <v>15</v>
      </c>
      <c r="K69" s="32">
        <v>15</v>
      </c>
      <c r="L69" s="32"/>
      <c r="M69" s="43"/>
      <c r="N69" s="32"/>
      <c r="O69" s="44"/>
      <c r="P69" s="44"/>
      <c r="Q69" s="44"/>
      <c r="R69" s="44"/>
      <c r="S69" s="43"/>
      <c r="T69" s="32">
        <f t="shared" si="5"/>
        <v>45</v>
      </c>
      <c r="U69" s="43">
        <v>6</v>
      </c>
    </row>
    <row r="70" spans="1:21" ht="38.25">
      <c r="A70" s="277" t="s">
        <v>27</v>
      </c>
      <c r="B70" s="287" t="s">
        <v>722</v>
      </c>
      <c r="C70" s="279" t="s">
        <v>47</v>
      </c>
      <c r="D70" s="295" t="s">
        <v>723</v>
      </c>
      <c r="E70" s="281">
        <v>8</v>
      </c>
      <c r="F70" s="282"/>
      <c r="G70" s="283"/>
      <c r="H70" s="284">
        <v>15</v>
      </c>
      <c r="I70" s="284"/>
      <c r="J70" s="284">
        <v>15</v>
      </c>
      <c r="K70" s="284"/>
      <c r="L70" s="284"/>
      <c r="M70" s="285"/>
      <c r="N70" s="284"/>
      <c r="O70" s="286"/>
      <c r="P70" s="286"/>
      <c r="Q70" s="286"/>
      <c r="R70" s="286"/>
      <c r="S70" s="285"/>
      <c r="T70" s="284">
        <f t="shared" ref="T70:T75" si="6">(I70+K70+M70+N70+O70+P70+Q70+R70+S70)</f>
        <v>0</v>
      </c>
      <c r="U70" s="285">
        <v>4</v>
      </c>
    </row>
    <row r="71" spans="1:21" ht="38.25">
      <c r="A71" s="277" t="s">
        <v>27</v>
      </c>
      <c r="B71" s="287" t="s">
        <v>722</v>
      </c>
      <c r="C71" s="279" t="s">
        <v>724</v>
      </c>
      <c r="D71" s="295" t="s">
        <v>723</v>
      </c>
      <c r="E71" s="281">
        <v>8</v>
      </c>
      <c r="F71" s="282"/>
      <c r="G71" s="283"/>
      <c r="H71" s="284">
        <v>30</v>
      </c>
      <c r="I71" s="284"/>
      <c r="J71" s="284">
        <v>15</v>
      </c>
      <c r="K71" s="284"/>
      <c r="L71" s="284"/>
      <c r="M71" s="285"/>
      <c r="N71" s="284"/>
      <c r="O71" s="286"/>
      <c r="P71" s="286"/>
      <c r="Q71" s="286"/>
      <c r="R71" s="286"/>
      <c r="S71" s="285"/>
      <c r="T71" s="284">
        <f t="shared" si="6"/>
        <v>0</v>
      </c>
      <c r="U71" s="285">
        <v>6</v>
      </c>
    </row>
    <row r="72" spans="1:21" ht="38.25">
      <c r="A72" s="277" t="s">
        <v>27</v>
      </c>
      <c r="B72" s="287" t="s">
        <v>722</v>
      </c>
      <c r="C72" s="279" t="s">
        <v>633</v>
      </c>
      <c r="D72" s="295" t="s">
        <v>723</v>
      </c>
      <c r="E72" s="281">
        <v>8</v>
      </c>
      <c r="F72" s="282"/>
      <c r="G72" s="283"/>
      <c r="H72" s="284">
        <v>30</v>
      </c>
      <c r="I72" s="284"/>
      <c r="J72" s="284">
        <v>15</v>
      </c>
      <c r="K72" s="284"/>
      <c r="L72" s="284"/>
      <c r="M72" s="285"/>
      <c r="N72" s="284"/>
      <c r="O72" s="286"/>
      <c r="P72" s="286"/>
      <c r="Q72" s="286"/>
      <c r="R72" s="286"/>
      <c r="S72" s="285"/>
      <c r="T72" s="284">
        <f t="shared" si="6"/>
        <v>0</v>
      </c>
      <c r="U72" s="285">
        <v>6</v>
      </c>
    </row>
    <row r="73" spans="1:21" ht="38.25">
      <c r="A73" s="277" t="s">
        <v>27</v>
      </c>
      <c r="B73" s="287" t="s">
        <v>722</v>
      </c>
      <c r="C73" s="279" t="s">
        <v>725</v>
      </c>
      <c r="D73" s="295" t="s">
        <v>723</v>
      </c>
      <c r="E73" s="281">
        <v>8</v>
      </c>
      <c r="F73" s="282"/>
      <c r="G73" s="283"/>
      <c r="H73" s="284">
        <v>30</v>
      </c>
      <c r="I73" s="284"/>
      <c r="J73" s="284">
        <v>15</v>
      </c>
      <c r="K73" s="284"/>
      <c r="L73" s="284"/>
      <c r="M73" s="285"/>
      <c r="N73" s="284"/>
      <c r="O73" s="286"/>
      <c r="P73" s="286"/>
      <c r="Q73" s="286"/>
      <c r="R73" s="286"/>
      <c r="S73" s="285"/>
      <c r="T73" s="284">
        <f t="shared" si="6"/>
        <v>0</v>
      </c>
      <c r="U73" s="285">
        <v>6</v>
      </c>
    </row>
    <row r="74" spans="1:21" ht="63.75">
      <c r="A74" s="277" t="s">
        <v>27</v>
      </c>
      <c r="B74" s="287" t="s">
        <v>722</v>
      </c>
      <c r="C74" s="279" t="s">
        <v>726</v>
      </c>
      <c r="D74" s="295" t="s">
        <v>723</v>
      </c>
      <c r="E74" s="281">
        <v>8</v>
      </c>
      <c r="F74" s="282"/>
      <c r="G74" s="283"/>
      <c r="H74" s="284">
        <v>30</v>
      </c>
      <c r="I74" s="284"/>
      <c r="J74" s="284">
        <v>30</v>
      </c>
      <c r="K74" s="284"/>
      <c r="L74" s="284"/>
      <c r="M74" s="285"/>
      <c r="N74" s="284"/>
      <c r="O74" s="286"/>
      <c r="P74" s="286"/>
      <c r="Q74" s="286"/>
      <c r="R74" s="286"/>
      <c r="S74" s="285"/>
      <c r="T74" s="284">
        <f t="shared" si="6"/>
        <v>0</v>
      </c>
      <c r="U74" s="285">
        <v>8</v>
      </c>
    </row>
    <row r="75" spans="1:21" ht="63.75">
      <c r="A75" s="93" t="s">
        <v>27</v>
      </c>
      <c r="B75" s="27" t="s">
        <v>727</v>
      </c>
      <c r="C75" s="55" t="s">
        <v>34</v>
      </c>
      <c r="D75" s="26" t="s">
        <v>728</v>
      </c>
      <c r="E75" s="29" t="s">
        <v>362</v>
      </c>
      <c r="F75" s="30">
        <v>1</v>
      </c>
      <c r="G75" s="31">
        <v>1</v>
      </c>
      <c r="H75" s="32"/>
      <c r="I75" s="32"/>
      <c r="J75" s="32">
        <v>45</v>
      </c>
      <c r="K75" s="32"/>
      <c r="L75" s="32"/>
      <c r="M75" s="43"/>
      <c r="N75" s="32"/>
      <c r="O75" s="44"/>
      <c r="P75" s="44"/>
      <c r="Q75" s="44"/>
      <c r="R75" s="44"/>
      <c r="S75" s="43"/>
      <c r="T75" s="32">
        <f t="shared" si="6"/>
        <v>0</v>
      </c>
      <c r="U75" s="43">
        <v>6</v>
      </c>
    </row>
    <row r="76" spans="1:21" ht="38.25">
      <c r="A76" s="93" t="s">
        <v>27</v>
      </c>
      <c r="B76" s="27" t="s">
        <v>729</v>
      </c>
      <c r="C76" s="55" t="s">
        <v>34</v>
      </c>
      <c r="D76" s="26" t="s">
        <v>730</v>
      </c>
      <c r="E76" s="29">
        <v>7</v>
      </c>
      <c r="F76" s="30">
        <v>1</v>
      </c>
      <c r="G76" s="31">
        <v>1</v>
      </c>
      <c r="H76" s="32"/>
      <c r="I76" s="32"/>
      <c r="J76" s="32">
        <v>45</v>
      </c>
      <c r="K76" s="32"/>
      <c r="L76" s="32"/>
      <c r="M76" s="43"/>
      <c r="N76" s="32"/>
      <c r="O76" s="44"/>
      <c r="P76" s="44"/>
      <c r="Q76" s="44"/>
      <c r="R76" s="44"/>
      <c r="S76" s="43"/>
      <c r="T76" s="32">
        <f t="shared" ref="T76:T80" si="7">(I76+K76+M76+N76+O76+P76+Q76+R76+S76)</f>
        <v>0</v>
      </c>
      <c r="U76" s="43">
        <v>6</v>
      </c>
    </row>
    <row r="77" spans="1:21" ht="38.25">
      <c r="A77" s="87" t="s">
        <v>27</v>
      </c>
      <c r="B77" s="19" t="s">
        <v>731</v>
      </c>
      <c r="C77" s="51" t="s">
        <v>732</v>
      </c>
      <c r="D77" s="33" t="s">
        <v>733</v>
      </c>
      <c r="E77" s="35">
        <v>10</v>
      </c>
      <c r="F77" s="23">
        <v>1</v>
      </c>
      <c r="G77" s="24">
        <v>1</v>
      </c>
      <c r="H77" s="25">
        <v>15</v>
      </c>
      <c r="I77" s="25">
        <v>15</v>
      </c>
      <c r="J77" s="25">
        <v>15</v>
      </c>
      <c r="K77" s="25">
        <v>15</v>
      </c>
      <c r="L77" s="25"/>
      <c r="M77" s="41"/>
      <c r="N77" s="25"/>
      <c r="O77" s="42"/>
      <c r="P77" s="42"/>
      <c r="Q77" s="42"/>
      <c r="R77" s="42"/>
      <c r="S77" s="41"/>
      <c r="T77" s="25">
        <f t="shared" si="7"/>
        <v>30</v>
      </c>
      <c r="U77" s="41">
        <v>4</v>
      </c>
    </row>
    <row r="78" spans="1:21" ht="25.5">
      <c r="A78" s="87" t="s">
        <v>27</v>
      </c>
      <c r="B78" s="27" t="s">
        <v>729</v>
      </c>
      <c r="C78" s="51" t="s">
        <v>734</v>
      </c>
      <c r="D78" s="33" t="s">
        <v>735</v>
      </c>
      <c r="E78" s="35">
        <v>7</v>
      </c>
      <c r="F78" s="30">
        <v>1</v>
      </c>
      <c r="G78" s="31">
        <v>1</v>
      </c>
      <c r="H78" s="25">
        <v>30</v>
      </c>
      <c r="I78" s="25">
        <v>30</v>
      </c>
      <c r="J78" s="25">
        <v>15</v>
      </c>
      <c r="K78" s="25">
        <v>15</v>
      </c>
      <c r="L78" s="25"/>
      <c r="M78" s="41"/>
      <c r="N78" s="25"/>
      <c r="O78" s="42"/>
      <c r="P78" s="42"/>
      <c r="Q78" s="42"/>
      <c r="R78" s="42"/>
      <c r="S78" s="41"/>
      <c r="T78" s="25">
        <f t="shared" si="7"/>
        <v>45</v>
      </c>
      <c r="U78" s="41">
        <v>6</v>
      </c>
    </row>
    <row r="79" spans="1:21" ht="25.5">
      <c r="A79" s="87" t="s">
        <v>27</v>
      </c>
      <c r="B79" s="27" t="s">
        <v>729</v>
      </c>
      <c r="C79" s="51" t="s">
        <v>736</v>
      </c>
      <c r="D79" s="33" t="s">
        <v>735</v>
      </c>
      <c r="E79" s="35">
        <v>7</v>
      </c>
      <c r="F79" s="30">
        <v>1</v>
      </c>
      <c r="G79" s="31">
        <v>1</v>
      </c>
      <c r="H79" s="25">
        <v>30</v>
      </c>
      <c r="I79" s="25">
        <v>30</v>
      </c>
      <c r="J79" s="25">
        <v>15</v>
      </c>
      <c r="K79" s="25">
        <v>15</v>
      </c>
      <c r="L79" s="25"/>
      <c r="M79" s="41"/>
      <c r="N79" s="25"/>
      <c r="O79" s="42"/>
      <c r="P79" s="42"/>
      <c r="Q79" s="42"/>
      <c r="R79" s="42"/>
      <c r="S79" s="41"/>
      <c r="T79" s="25">
        <f t="shared" si="7"/>
        <v>45</v>
      </c>
      <c r="U79" s="41">
        <v>6</v>
      </c>
    </row>
    <row r="80" spans="1:21" ht="25.5">
      <c r="A80" s="87" t="s">
        <v>27</v>
      </c>
      <c r="B80" s="27" t="s">
        <v>729</v>
      </c>
      <c r="C80" s="51" t="s">
        <v>737</v>
      </c>
      <c r="D80" s="33" t="s">
        <v>735</v>
      </c>
      <c r="E80" s="35">
        <v>7</v>
      </c>
      <c r="F80" s="30">
        <v>1</v>
      </c>
      <c r="G80" s="31">
        <v>1</v>
      </c>
      <c r="H80" s="25">
        <v>30</v>
      </c>
      <c r="I80" s="25">
        <v>30</v>
      </c>
      <c r="J80" s="25">
        <v>15</v>
      </c>
      <c r="K80" s="25">
        <v>15</v>
      </c>
      <c r="L80" s="25"/>
      <c r="M80" s="41"/>
      <c r="N80" s="25"/>
      <c r="O80" s="42"/>
      <c r="P80" s="42"/>
      <c r="Q80" s="42"/>
      <c r="R80" s="42"/>
      <c r="S80" s="41"/>
      <c r="T80" s="25">
        <f t="shared" si="7"/>
        <v>45</v>
      </c>
      <c r="U80" s="41">
        <v>6</v>
      </c>
    </row>
    <row r="81" spans="1:21" ht="25.5">
      <c r="A81" s="87" t="s">
        <v>27</v>
      </c>
      <c r="B81" s="19" t="s">
        <v>738</v>
      </c>
      <c r="C81" s="51" t="s">
        <v>734</v>
      </c>
      <c r="D81" s="33" t="s">
        <v>735</v>
      </c>
      <c r="E81" s="35">
        <v>10</v>
      </c>
      <c r="F81" s="30">
        <v>1</v>
      </c>
      <c r="G81" s="31">
        <v>1</v>
      </c>
      <c r="H81" s="25">
        <v>30</v>
      </c>
      <c r="I81" s="25">
        <v>30</v>
      </c>
      <c r="J81" s="25">
        <v>15</v>
      </c>
      <c r="K81" s="25">
        <v>15</v>
      </c>
      <c r="L81" s="25"/>
      <c r="M81" s="41"/>
      <c r="N81" s="25"/>
      <c r="O81" s="42"/>
      <c r="P81" s="42"/>
      <c r="Q81" s="42"/>
      <c r="R81" s="42"/>
      <c r="S81" s="41"/>
      <c r="T81" s="25">
        <f t="shared" ref="T81:T85" si="8">(I81+K81+M81+N81+O81+P81+Q81+R81+S81)</f>
        <v>45</v>
      </c>
      <c r="U81" s="41">
        <v>6</v>
      </c>
    </row>
    <row r="82" spans="1:21" ht="36" customHeight="1">
      <c r="A82" s="87" t="s">
        <v>27</v>
      </c>
      <c r="B82" s="19" t="s">
        <v>738</v>
      </c>
      <c r="C82" s="51" t="s">
        <v>736</v>
      </c>
      <c r="D82" s="33" t="s">
        <v>735</v>
      </c>
      <c r="E82" s="35">
        <v>10</v>
      </c>
      <c r="F82" s="30">
        <v>1</v>
      </c>
      <c r="G82" s="31">
        <v>1</v>
      </c>
      <c r="H82" s="25">
        <v>30</v>
      </c>
      <c r="I82" s="25">
        <v>30</v>
      </c>
      <c r="J82" s="25">
        <v>15</v>
      </c>
      <c r="K82" s="25">
        <v>15</v>
      </c>
      <c r="L82" s="25"/>
      <c r="M82" s="41"/>
      <c r="N82" s="25"/>
      <c r="O82" s="42"/>
      <c r="P82" s="42"/>
      <c r="Q82" s="42"/>
      <c r="R82" s="42"/>
      <c r="S82" s="41"/>
      <c r="T82" s="25">
        <f t="shared" si="8"/>
        <v>45</v>
      </c>
      <c r="U82" s="41">
        <v>6</v>
      </c>
    </row>
    <row r="83" spans="1:21" ht="24.75" customHeight="1">
      <c r="A83" s="87" t="s">
        <v>27</v>
      </c>
      <c r="B83" s="19" t="s">
        <v>738</v>
      </c>
      <c r="C83" s="51" t="s">
        <v>737</v>
      </c>
      <c r="D83" s="33" t="s">
        <v>735</v>
      </c>
      <c r="E83" s="35">
        <v>10</v>
      </c>
      <c r="F83" s="30">
        <v>1</v>
      </c>
      <c r="G83" s="31">
        <v>1</v>
      </c>
      <c r="H83" s="25">
        <v>30</v>
      </c>
      <c r="I83" s="25">
        <v>30</v>
      </c>
      <c r="J83" s="25">
        <v>15</v>
      </c>
      <c r="K83" s="25">
        <v>15</v>
      </c>
      <c r="L83" s="25"/>
      <c r="M83" s="41"/>
      <c r="N83" s="25"/>
      <c r="O83" s="42"/>
      <c r="P83" s="42"/>
      <c r="Q83" s="42"/>
      <c r="R83" s="42"/>
      <c r="S83" s="41"/>
      <c r="T83" s="25">
        <f t="shared" si="8"/>
        <v>45</v>
      </c>
      <c r="U83" s="41">
        <v>6</v>
      </c>
    </row>
    <row r="84" spans="1:21" ht="38.25">
      <c r="A84" s="87" t="s">
        <v>27</v>
      </c>
      <c r="B84" s="19" t="s">
        <v>731</v>
      </c>
      <c r="C84" s="51" t="s">
        <v>739</v>
      </c>
      <c r="D84" s="33" t="s">
        <v>733</v>
      </c>
      <c r="E84" s="35">
        <v>10</v>
      </c>
      <c r="F84" s="30">
        <v>1</v>
      </c>
      <c r="G84" s="31">
        <v>1</v>
      </c>
      <c r="H84" s="25">
        <v>30</v>
      </c>
      <c r="I84" s="25">
        <v>30</v>
      </c>
      <c r="J84" s="25">
        <v>15</v>
      </c>
      <c r="K84" s="25">
        <v>15</v>
      </c>
      <c r="L84" s="25"/>
      <c r="M84" s="41"/>
      <c r="N84" s="25"/>
      <c r="O84" s="42"/>
      <c r="P84" s="42"/>
      <c r="Q84" s="42"/>
      <c r="R84" s="42"/>
      <c r="S84" s="41"/>
      <c r="T84" s="25">
        <f t="shared" si="8"/>
        <v>45</v>
      </c>
      <c r="U84" s="41">
        <v>6</v>
      </c>
    </row>
    <row r="85" spans="1:21" ht="76.5">
      <c r="A85" s="87" t="s">
        <v>27</v>
      </c>
      <c r="B85" s="27" t="s">
        <v>729</v>
      </c>
      <c r="C85" s="51" t="s">
        <v>740</v>
      </c>
      <c r="D85" s="33" t="s">
        <v>735</v>
      </c>
      <c r="E85" s="35">
        <v>7</v>
      </c>
      <c r="F85" s="30">
        <v>1</v>
      </c>
      <c r="G85" s="31">
        <v>1</v>
      </c>
      <c r="H85" s="25">
        <v>30</v>
      </c>
      <c r="I85" s="25">
        <v>30</v>
      </c>
      <c r="J85" s="25">
        <v>15</v>
      </c>
      <c r="K85" s="25">
        <v>15</v>
      </c>
      <c r="L85" s="25"/>
      <c r="M85" s="41"/>
      <c r="N85" s="25"/>
      <c r="O85" s="42"/>
      <c r="P85" s="42"/>
      <c r="Q85" s="42"/>
      <c r="R85" s="42"/>
      <c r="S85" s="41"/>
      <c r="T85" s="25">
        <f t="shared" si="8"/>
        <v>45</v>
      </c>
      <c r="U85" s="41">
        <v>6</v>
      </c>
    </row>
    <row r="86" spans="1:21" ht="38.25">
      <c r="A86" s="87" t="s">
        <v>27</v>
      </c>
      <c r="B86" s="19" t="s">
        <v>731</v>
      </c>
      <c r="C86" s="51" t="s">
        <v>741</v>
      </c>
      <c r="D86" s="33" t="s">
        <v>733</v>
      </c>
      <c r="E86" s="35">
        <v>10</v>
      </c>
      <c r="F86" s="30">
        <v>1</v>
      </c>
      <c r="G86" s="31">
        <v>1</v>
      </c>
      <c r="H86" s="25">
        <v>30</v>
      </c>
      <c r="I86" s="25">
        <v>30</v>
      </c>
      <c r="J86" s="25">
        <v>15</v>
      </c>
      <c r="K86" s="25">
        <v>15</v>
      </c>
      <c r="L86" s="25"/>
      <c r="M86" s="41"/>
      <c r="N86" s="25"/>
      <c r="O86" s="42"/>
      <c r="P86" s="42"/>
      <c r="Q86" s="42"/>
      <c r="R86" s="42"/>
      <c r="S86" s="41"/>
      <c r="T86" s="25">
        <f t="shared" ref="T86:T93" si="9">(I86+K86+M86+N86+O86+P86+Q86+R86+S86)</f>
        <v>45</v>
      </c>
      <c r="U86" s="41">
        <v>6</v>
      </c>
    </row>
    <row r="87" spans="1:21" ht="76.5">
      <c r="A87" s="87" t="s">
        <v>27</v>
      </c>
      <c r="B87" s="19" t="s">
        <v>727</v>
      </c>
      <c r="C87" s="51" t="s">
        <v>740</v>
      </c>
      <c r="D87" s="33" t="s">
        <v>728</v>
      </c>
      <c r="E87" s="35" t="s">
        <v>742</v>
      </c>
      <c r="F87" s="30">
        <v>1</v>
      </c>
      <c r="G87" s="31">
        <v>1</v>
      </c>
      <c r="H87" s="25">
        <v>30</v>
      </c>
      <c r="I87" s="25">
        <v>30</v>
      </c>
      <c r="J87" s="25">
        <v>30</v>
      </c>
      <c r="K87" s="25">
        <v>30</v>
      </c>
      <c r="L87" s="25"/>
      <c r="M87" s="41"/>
      <c r="N87" s="25"/>
      <c r="O87" s="42"/>
      <c r="P87" s="42"/>
      <c r="Q87" s="42"/>
      <c r="R87" s="42"/>
      <c r="S87" s="41"/>
      <c r="T87" s="25">
        <f t="shared" si="9"/>
        <v>60</v>
      </c>
      <c r="U87" s="41">
        <v>8</v>
      </c>
    </row>
    <row r="88" spans="1:21" ht="51">
      <c r="A88" s="277" t="s">
        <v>27</v>
      </c>
      <c r="B88" s="287" t="s">
        <v>743</v>
      </c>
      <c r="C88" s="279" t="s">
        <v>47</v>
      </c>
      <c r="D88" s="295" t="s">
        <v>744</v>
      </c>
      <c r="E88" s="281">
        <v>8</v>
      </c>
      <c r="F88" s="282">
        <v>1</v>
      </c>
      <c r="G88" s="283">
        <v>1</v>
      </c>
      <c r="H88" s="284">
        <v>15</v>
      </c>
      <c r="I88" s="284">
        <v>15</v>
      </c>
      <c r="J88" s="284">
        <v>15</v>
      </c>
      <c r="K88" s="284">
        <v>15</v>
      </c>
      <c r="L88" s="284"/>
      <c r="M88" s="285"/>
      <c r="N88" s="284"/>
      <c r="O88" s="286"/>
      <c r="P88" s="286"/>
      <c r="Q88" s="286"/>
      <c r="R88" s="286"/>
      <c r="S88" s="285"/>
      <c r="T88" s="284">
        <f t="shared" ref="T88:T89" si="10">(I88+K88+M88+N88+O88+P88+Q88+R88+S88)</f>
        <v>30</v>
      </c>
      <c r="U88" s="285">
        <v>6</v>
      </c>
    </row>
    <row r="89" spans="1:21" ht="51">
      <c r="A89" s="277" t="s">
        <v>27</v>
      </c>
      <c r="B89" s="287" t="s">
        <v>743</v>
      </c>
      <c r="C89" s="279" t="s">
        <v>724</v>
      </c>
      <c r="D89" s="295" t="s">
        <v>744</v>
      </c>
      <c r="E89" s="281">
        <v>8</v>
      </c>
      <c r="F89" s="282">
        <v>1</v>
      </c>
      <c r="G89" s="283">
        <v>1</v>
      </c>
      <c r="H89" s="284">
        <v>30</v>
      </c>
      <c r="I89" s="284">
        <v>30</v>
      </c>
      <c r="J89" s="284">
        <v>15</v>
      </c>
      <c r="K89" s="284">
        <v>15</v>
      </c>
      <c r="L89" s="284"/>
      <c r="M89" s="285"/>
      <c r="N89" s="284"/>
      <c r="O89" s="286"/>
      <c r="P89" s="286"/>
      <c r="Q89" s="286"/>
      <c r="R89" s="286"/>
      <c r="S89" s="285"/>
      <c r="T89" s="284">
        <f t="shared" si="10"/>
        <v>45</v>
      </c>
      <c r="U89" s="285">
        <v>6</v>
      </c>
    </row>
    <row r="90" spans="1:21" ht="51">
      <c r="A90" s="277" t="s">
        <v>27</v>
      </c>
      <c r="B90" s="287" t="s">
        <v>743</v>
      </c>
      <c r="C90" s="279" t="s">
        <v>745</v>
      </c>
      <c r="D90" s="295" t="s">
        <v>744</v>
      </c>
      <c r="E90" s="281">
        <v>8</v>
      </c>
      <c r="F90" s="282">
        <v>1</v>
      </c>
      <c r="G90" s="283">
        <v>1</v>
      </c>
      <c r="H90" s="284">
        <v>30</v>
      </c>
      <c r="I90" s="284">
        <v>30</v>
      </c>
      <c r="J90" s="284">
        <v>15</v>
      </c>
      <c r="K90" s="284">
        <v>15</v>
      </c>
      <c r="L90" s="284"/>
      <c r="M90" s="285"/>
      <c r="N90" s="284"/>
      <c r="O90" s="286"/>
      <c r="P90" s="286"/>
      <c r="Q90" s="286"/>
      <c r="R90" s="286"/>
      <c r="S90" s="285"/>
      <c r="T90" s="284">
        <f t="shared" si="9"/>
        <v>45</v>
      </c>
      <c r="U90" s="285">
        <v>6</v>
      </c>
    </row>
    <row r="91" spans="1:21" ht="51">
      <c r="A91" s="277" t="s">
        <v>27</v>
      </c>
      <c r="B91" s="287" t="s">
        <v>743</v>
      </c>
      <c r="C91" s="279" t="s">
        <v>746</v>
      </c>
      <c r="D91" s="295" t="s">
        <v>744</v>
      </c>
      <c r="E91" s="281">
        <v>8</v>
      </c>
      <c r="F91" s="282">
        <v>1</v>
      </c>
      <c r="G91" s="283">
        <v>1</v>
      </c>
      <c r="H91" s="284">
        <v>30</v>
      </c>
      <c r="I91" s="284">
        <v>30</v>
      </c>
      <c r="J91" s="284">
        <v>15</v>
      </c>
      <c r="K91" s="284">
        <v>15</v>
      </c>
      <c r="L91" s="284"/>
      <c r="M91" s="285"/>
      <c r="N91" s="284"/>
      <c r="O91" s="286"/>
      <c r="P91" s="286"/>
      <c r="Q91" s="286"/>
      <c r="R91" s="286"/>
      <c r="S91" s="285"/>
      <c r="T91" s="284">
        <f t="shared" si="9"/>
        <v>45</v>
      </c>
      <c r="U91" s="285">
        <v>6</v>
      </c>
    </row>
    <row r="92" spans="1:21" ht="63.75">
      <c r="A92" s="277" t="s">
        <v>27</v>
      </c>
      <c r="B92" s="287" t="s">
        <v>743</v>
      </c>
      <c r="C92" s="279" t="s">
        <v>726</v>
      </c>
      <c r="D92" s="295" t="s">
        <v>744</v>
      </c>
      <c r="E92" s="281">
        <v>8</v>
      </c>
      <c r="F92" s="282">
        <v>1</v>
      </c>
      <c r="G92" s="283">
        <v>1</v>
      </c>
      <c r="H92" s="284">
        <v>30</v>
      </c>
      <c r="I92" s="284">
        <v>30</v>
      </c>
      <c r="J92" s="284">
        <v>30</v>
      </c>
      <c r="K92" s="284">
        <v>30</v>
      </c>
      <c r="L92" s="284"/>
      <c r="M92" s="285"/>
      <c r="N92" s="284"/>
      <c r="O92" s="286"/>
      <c r="P92" s="286"/>
      <c r="Q92" s="286"/>
      <c r="R92" s="286"/>
      <c r="S92" s="285"/>
      <c r="T92" s="284">
        <f t="shared" ref="T92" si="11">(I92+K92+M92+N92+O92+P92+Q92+R92+S92)</f>
        <v>60</v>
      </c>
      <c r="U92" s="285">
        <v>8</v>
      </c>
    </row>
    <row r="93" spans="1:21" ht="63.75">
      <c r="A93" s="87" t="s">
        <v>27</v>
      </c>
      <c r="B93" s="19" t="s">
        <v>57</v>
      </c>
      <c r="C93" s="20" t="s">
        <v>747</v>
      </c>
      <c r="D93" s="21" t="s">
        <v>38</v>
      </c>
      <c r="E93" s="35">
        <v>21</v>
      </c>
      <c r="F93" s="23">
        <v>1</v>
      </c>
      <c r="G93" s="24">
        <v>1</v>
      </c>
      <c r="H93" s="25">
        <v>15</v>
      </c>
      <c r="I93" s="25">
        <v>15</v>
      </c>
      <c r="J93" s="25">
        <v>15</v>
      </c>
      <c r="K93" s="25">
        <v>15</v>
      </c>
      <c r="L93" s="25"/>
      <c r="M93" s="41"/>
      <c r="N93" s="25"/>
      <c r="O93" s="42"/>
      <c r="P93" s="42"/>
      <c r="Q93" s="42"/>
      <c r="R93" s="42"/>
      <c r="S93" s="41"/>
      <c r="T93" s="25">
        <f t="shared" si="9"/>
        <v>30</v>
      </c>
      <c r="U93" s="41">
        <v>3</v>
      </c>
    </row>
    <row r="94" spans="1:21">
      <c r="A94" s="87" t="s">
        <v>27</v>
      </c>
      <c r="B94" s="65" t="s">
        <v>88</v>
      </c>
      <c r="C94" s="94" t="s">
        <v>683</v>
      </c>
      <c r="D94" s="95" t="s">
        <v>89</v>
      </c>
      <c r="E94" s="96">
        <v>46</v>
      </c>
      <c r="F94" s="97">
        <v>1</v>
      </c>
      <c r="G94" s="98">
        <v>2</v>
      </c>
      <c r="H94" s="99">
        <v>30</v>
      </c>
      <c r="I94" s="101">
        <v>30</v>
      </c>
      <c r="J94" s="99">
        <v>15</v>
      </c>
      <c r="K94" s="101">
        <v>30</v>
      </c>
      <c r="L94" s="99"/>
      <c r="M94" s="101"/>
      <c r="N94" s="99"/>
      <c r="O94" s="102"/>
      <c r="P94" s="102"/>
      <c r="Q94" s="102"/>
      <c r="R94" s="102"/>
      <c r="S94" s="101"/>
      <c r="T94" s="25">
        <f t="shared" ref="T94:T99" si="12">(I94+K94+M94+N94+O94+P94+Q94+R94+S94)</f>
        <v>60</v>
      </c>
      <c r="U94" s="101">
        <v>4</v>
      </c>
    </row>
    <row r="95" spans="1:21">
      <c r="A95" s="277" t="s">
        <v>36</v>
      </c>
      <c r="B95" s="304" t="s">
        <v>72</v>
      </c>
      <c r="C95" s="301" t="s">
        <v>683</v>
      </c>
      <c r="D95" s="280" t="s">
        <v>73</v>
      </c>
      <c r="E95" s="281">
        <v>60</v>
      </c>
      <c r="F95" s="282">
        <v>1</v>
      </c>
      <c r="G95" s="283">
        <v>2</v>
      </c>
      <c r="H95" s="284">
        <v>15</v>
      </c>
      <c r="I95" s="285">
        <v>15</v>
      </c>
      <c r="J95" s="284">
        <v>15</v>
      </c>
      <c r="K95" s="285">
        <v>30</v>
      </c>
      <c r="L95" s="284"/>
      <c r="M95" s="285"/>
      <c r="N95" s="284"/>
      <c r="O95" s="286"/>
      <c r="P95" s="286"/>
      <c r="Q95" s="286"/>
      <c r="R95" s="286"/>
      <c r="S95" s="285"/>
      <c r="T95" s="284">
        <f t="shared" si="12"/>
        <v>45</v>
      </c>
      <c r="U95" s="285">
        <v>4</v>
      </c>
    </row>
    <row r="96" spans="1:21">
      <c r="A96" s="277" t="s">
        <v>36</v>
      </c>
      <c r="B96" s="287" t="s">
        <v>74</v>
      </c>
      <c r="C96" s="301" t="s">
        <v>683</v>
      </c>
      <c r="D96" s="280" t="s">
        <v>73</v>
      </c>
      <c r="E96" s="281">
        <v>20</v>
      </c>
      <c r="F96" s="282">
        <v>1</v>
      </c>
      <c r="G96" s="283">
        <v>1</v>
      </c>
      <c r="H96" s="284">
        <v>15</v>
      </c>
      <c r="I96" s="285">
        <v>15</v>
      </c>
      <c r="J96" s="284">
        <v>15</v>
      </c>
      <c r="K96" s="285">
        <v>15</v>
      </c>
      <c r="L96" s="284"/>
      <c r="M96" s="285"/>
      <c r="N96" s="284"/>
      <c r="O96" s="286"/>
      <c r="P96" s="286"/>
      <c r="Q96" s="286"/>
      <c r="R96" s="286"/>
      <c r="S96" s="285"/>
      <c r="T96" s="284">
        <f t="shared" si="12"/>
        <v>30</v>
      </c>
      <c r="U96" s="285">
        <v>4</v>
      </c>
    </row>
    <row r="97" spans="1:21" ht="25.5">
      <c r="A97" s="277" t="s">
        <v>36</v>
      </c>
      <c r="B97" s="288" t="s">
        <v>447</v>
      </c>
      <c r="C97" s="301" t="s">
        <v>748</v>
      </c>
      <c r="D97" s="290" t="s">
        <v>449</v>
      </c>
      <c r="E97" s="281" t="s">
        <v>134</v>
      </c>
      <c r="F97" s="282">
        <v>1</v>
      </c>
      <c r="G97" s="283">
        <v>2</v>
      </c>
      <c r="H97" s="284">
        <v>45</v>
      </c>
      <c r="I97" s="284">
        <v>45</v>
      </c>
      <c r="J97" s="284">
        <v>30</v>
      </c>
      <c r="K97" s="285">
        <v>60</v>
      </c>
      <c r="L97" s="284"/>
      <c r="M97" s="285"/>
      <c r="N97" s="284"/>
      <c r="O97" s="286"/>
      <c r="P97" s="286"/>
      <c r="Q97" s="300"/>
      <c r="R97" s="286"/>
      <c r="S97" s="285"/>
      <c r="T97" s="284">
        <f t="shared" si="12"/>
        <v>105</v>
      </c>
      <c r="U97" s="285">
        <v>8</v>
      </c>
    </row>
    <row r="98" spans="1:21" ht="25.5">
      <c r="A98" s="277" t="s">
        <v>36</v>
      </c>
      <c r="B98" s="288" t="s">
        <v>450</v>
      </c>
      <c r="C98" s="301" t="s">
        <v>748</v>
      </c>
      <c r="D98" s="290" t="s">
        <v>449</v>
      </c>
      <c r="E98" s="281" t="s">
        <v>210</v>
      </c>
      <c r="F98" s="282">
        <v>1</v>
      </c>
      <c r="G98" s="283">
        <v>2</v>
      </c>
      <c r="H98" s="284">
        <v>45</v>
      </c>
      <c r="I98" s="284">
        <v>45</v>
      </c>
      <c r="J98" s="284">
        <v>30</v>
      </c>
      <c r="K98" s="285">
        <v>60</v>
      </c>
      <c r="L98" s="284"/>
      <c r="M98" s="285"/>
      <c r="N98" s="284"/>
      <c r="O98" s="286"/>
      <c r="P98" s="286"/>
      <c r="Q98" s="300"/>
      <c r="R98" s="286"/>
      <c r="S98" s="285"/>
      <c r="T98" s="284">
        <f t="shared" si="12"/>
        <v>105</v>
      </c>
      <c r="U98" s="285">
        <v>8</v>
      </c>
    </row>
    <row r="99" spans="1:21" ht="38.25">
      <c r="A99" s="277" t="s">
        <v>36</v>
      </c>
      <c r="B99" s="288" t="s">
        <v>447</v>
      </c>
      <c r="C99" s="287" t="s">
        <v>749</v>
      </c>
      <c r="D99" s="290" t="s">
        <v>449</v>
      </c>
      <c r="E99" s="281" t="s">
        <v>134</v>
      </c>
      <c r="F99" s="282">
        <v>1</v>
      </c>
      <c r="G99" s="283">
        <v>2</v>
      </c>
      <c r="H99" s="284">
        <v>30</v>
      </c>
      <c r="I99" s="284">
        <v>30</v>
      </c>
      <c r="J99" s="284">
        <v>15</v>
      </c>
      <c r="K99" s="285">
        <v>30</v>
      </c>
      <c r="L99" s="284"/>
      <c r="M99" s="285"/>
      <c r="N99" s="284"/>
      <c r="O99" s="286"/>
      <c r="P99" s="286"/>
      <c r="Q99" s="286"/>
      <c r="R99" s="286"/>
      <c r="S99" s="285"/>
      <c r="T99" s="284">
        <f t="shared" si="12"/>
        <v>60</v>
      </c>
      <c r="U99" s="285">
        <v>4</v>
      </c>
    </row>
    <row r="100" spans="1:21" ht="38.25">
      <c r="A100" s="277" t="s">
        <v>36</v>
      </c>
      <c r="B100" s="288" t="s">
        <v>450</v>
      </c>
      <c r="C100" s="287" t="s">
        <v>749</v>
      </c>
      <c r="D100" s="290" t="s">
        <v>449</v>
      </c>
      <c r="E100" s="281" t="s">
        <v>210</v>
      </c>
      <c r="F100" s="282">
        <v>1</v>
      </c>
      <c r="G100" s="283">
        <v>2</v>
      </c>
      <c r="H100" s="284">
        <v>30</v>
      </c>
      <c r="I100" s="284">
        <v>30</v>
      </c>
      <c r="J100" s="284">
        <v>15</v>
      </c>
      <c r="K100" s="285">
        <v>30</v>
      </c>
      <c r="L100" s="284"/>
      <c r="M100" s="285"/>
      <c r="N100" s="284"/>
      <c r="O100" s="286"/>
      <c r="P100" s="286"/>
      <c r="Q100" s="286"/>
      <c r="R100" s="286"/>
      <c r="S100" s="285"/>
      <c r="T100" s="284">
        <f t="shared" ref="T100:T104" si="13">(I100+K100+M100+N100+O100+P100+Q100+R100+S100)</f>
        <v>60</v>
      </c>
      <c r="U100" s="285">
        <v>4</v>
      </c>
    </row>
    <row r="101" spans="1:21">
      <c r="A101" s="277" t="s">
        <v>36</v>
      </c>
      <c r="B101" s="288" t="s">
        <v>455</v>
      </c>
      <c r="C101" s="301" t="s">
        <v>748</v>
      </c>
      <c r="D101" s="280" t="s">
        <v>457</v>
      </c>
      <c r="E101" s="281">
        <v>40</v>
      </c>
      <c r="F101" s="282">
        <v>1</v>
      </c>
      <c r="G101" s="283">
        <v>2</v>
      </c>
      <c r="H101" s="284">
        <v>30</v>
      </c>
      <c r="I101" s="284">
        <v>30</v>
      </c>
      <c r="J101" s="284">
        <v>30</v>
      </c>
      <c r="K101" s="285">
        <v>60</v>
      </c>
      <c r="L101" s="284"/>
      <c r="M101" s="285"/>
      <c r="N101" s="284"/>
      <c r="O101" s="286"/>
      <c r="P101" s="286"/>
      <c r="Q101" s="286"/>
      <c r="R101" s="286"/>
      <c r="S101" s="285"/>
      <c r="T101" s="284">
        <f t="shared" si="13"/>
        <v>90</v>
      </c>
      <c r="U101" s="285">
        <v>5</v>
      </c>
    </row>
    <row r="102" spans="1:21">
      <c r="A102" s="277" t="s">
        <v>36</v>
      </c>
      <c r="B102" s="288" t="s">
        <v>458</v>
      </c>
      <c r="C102" s="301" t="s">
        <v>748</v>
      </c>
      <c r="D102" s="280" t="s">
        <v>457</v>
      </c>
      <c r="E102" s="281">
        <v>25</v>
      </c>
      <c r="F102" s="282">
        <v>1</v>
      </c>
      <c r="G102" s="283">
        <v>1</v>
      </c>
      <c r="H102" s="284">
        <v>30</v>
      </c>
      <c r="I102" s="284">
        <v>30</v>
      </c>
      <c r="J102" s="284">
        <v>30</v>
      </c>
      <c r="K102" s="285">
        <v>30</v>
      </c>
      <c r="L102" s="284"/>
      <c r="M102" s="285"/>
      <c r="N102" s="284"/>
      <c r="O102" s="286"/>
      <c r="P102" s="286"/>
      <c r="Q102" s="286"/>
      <c r="R102" s="286"/>
      <c r="S102" s="285"/>
      <c r="T102" s="284">
        <f t="shared" si="13"/>
        <v>60</v>
      </c>
      <c r="U102" s="285">
        <v>5</v>
      </c>
    </row>
    <row r="103" spans="1:21" ht="51">
      <c r="A103" s="277" t="s">
        <v>36</v>
      </c>
      <c r="B103" s="288" t="s">
        <v>455</v>
      </c>
      <c r="C103" s="287" t="s">
        <v>750</v>
      </c>
      <c r="D103" s="280" t="s">
        <v>457</v>
      </c>
      <c r="E103" s="281">
        <v>40</v>
      </c>
      <c r="F103" s="282">
        <v>1</v>
      </c>
      <c r="G103" s="283">
        <v>2</v>
      </c>
      <c r="H103" s="284">
        <v>30</v>
      </c>
      <c r="I103" s="284">
        <v>30</v>
      </c>
      <c r="J103" s="284">
        <v>30</v>
      </c>
      <c r="K103" s="285">
        <v>60</v>
      </c>
      <c r="L103" s="284"/>
      <c r="M103" s="285"/>
      <c r="N103" s="284"/>
      <c r="O103" s="286"/>
      <c r="P103" s="286"/>
      <c r="Q103" s="286"/>
      <c r="R103" s="286"/>
      <c r="S103" s="285"/>
      <c r="T103" s="284">
        <f t="shared" si="13"/>
        <v>90</v>
      </c>
      <c r="U103" s="285">
        <v>6</v>
      </c>
    </row>
    <row r="104" spans="1:21" ht="51">
      <c r="A104" s="277" t="s">
        <v>36</v>
      </c>
      <c r="B104" s="288" t="s">
        <v>458</v>
      </c>
      <c r="C104" s="287" t="s">
        <v>750</v>
      </c>
      <c r="D104" s="280" t="s">
        <v>457</v>
      </c>
      <c r="E104" s="281">
        <v>25</v>
      </c>
      <c r="F104" s="282">
        <v>1</v>
      </c>
      <c r="G104" s="283">
        <v>1</v>
      </c>
      <c r="H104" s="284">
        <v>30</v>
      </c>
      <c r="I104" s="284">
        <v>30</v>
      </c>
      <c r="J104" s="284">
        <v>30</v>
      </c>
      <c r="K104" s="285">
        <v>30</v>
      </c>
      <c r="L104" s="284"/>
      <c r="M104" s="285"/>
      <c r="N104" s="284"/>
      <c r="O104" s="286"/>
      <c r="P104" s="286"/>
      <c r="Q104" s="286"/>
      <c r="R104" s="286"/>
      <c r="S104" s="285"/>
      <c r="T104" s="284">
        <f t="shared" si="13"/>
        <v>60</v>
      </c>
      <c r="U104" s="285">
        <v>6</v>
      </c>
    </row>
    <row r="105" spans="1:21" ht="25.5">
      <c r="A105" s="277" t="s">
        <v>36</v>
      </c>
      <c r="B105" s="287" t="s">
        <v>463</v>
      </c>
      <c r="C105" s="279" t="s">
        <v>751</v>
      </c>
      <c r="D105" s="296" t="s">
        <v>100</v>
      </c>
      <c r="E105" s="281">
        <v>40</v>
      </c>
      <c r="F105" s="282">
        <v>1</v>
      </c>
      <c r="G105" s="283">
        <v>2</v>
      </c>
      <c r="H105" s="284">
        <v>30</v>
      </c>
      <c r="I105" s="284">
        <v>30</v>
      </c>
      <c r="J105" s="284">
        <v>30</v>
      </c>
      <c r="K105" s="285">
        <v>60</v>
      </c>
      <c r="L105" s="284"/>
      <c r="M105" s="285"/>
      <c r="N105" s="284"/>
      <c r="O105" s="286"/>
      <c r="P105" s="286"/>
      <c r="Q105" s="286"/>
      <c r="R105" s="286"/>
      <c r="S105" s="285"/>
      <c r="T105" s="284">
        <f t="shared" ref="T105:T112" si="14">(I105+K105+M105+N105+O105+P105+Q105+R105+S105)</f>
        <v>90</v>
      </c>
      <c r="U105" s="285">
        <v>6</v>
      </c>
    </row>
    <row r="106" spans="1:21" ht="25.5">
      <c r="A106" s="277" t="s">
        <v>36</v>
      </c>
      <c r="B106" s="287" t="s">
        <v>465</v>
      </c>
      <c r="C106" s="279" t="s">
        <v>751</v>
      </c>
      <c r="D106" s="280" t="s">
        <v>100</v>
      </c>
      <c r="E106" s="281">
        <v>25</v>
      </c>
      <c r="F106" s="282">
        <v>1</v>
      </c>
      <c r="G106" s="283">
        <v>1</v>
      </c>
      <c r="H106" s="284">
        <v>30</v>
      </c>
      <c r="I106" s="284">
        <v>30</v>
      </c>
      <c r="J106" s="284">
        <v>30</v>
      </c>
      <c r="K106" s="285">
        <v>30</v>
      </c>
      <c r="L106" s="284"/>
      <c r="M106" s="285"/>
      <c r="N106" s="284"/>
      <c r="O106" s="286"/>
      <c r="P106" s="286"/>
      <c r="Q106" s="286"/>
      <c r="R106" s="286"/>
      <c r="S106" s="285"/>
      <c r="T106" s="284">
        <f t="shared" si="14"/>
        <v>60</v>
      </c>
      <c r="U106" s="285">
        <v>6</v>
      </c>
    </row>
    <row r="107" spans="1:21">
      <c r="A107" s="277" t="s">
        <v>36</v>
      </c>
      <c r="B107" s="278" t="s">
        <v>477</v>
      </c>
      <c r="C107" s="301" t="s">
        <v>752</v>
      </c>
      <c r="D107" s="280" t="s">
        <v>457</v>
      </c>
      <c r="E107" s="281">
        <v>29</v>
      </c>
      <c r="F107" s="282">
        <v>1</v>
      </c>
      <c r="G107" s="283">
        <v>1</v>
      </c>
      <c r="H107" s="284">
        <v>30</v>
      </c>
      <c r="I107" s="284">
        <v>30</v>
      </c>
      <c r="J107" s="284">
        <v>30</v>
      </c>
      <c r="K107" s="285">
        <v>30</v>
      </c>
      <c r="L107" s="284"/>
      <c r="M107" s="285"/>
      <c r="N107" s="284"/>
      <c r="O107" s="286"/>
      <c r="P107" s="286"/>
      <c r="Q107" s="286"/>
      <c r="R107" s="286"/>
      <c r="S107" s="285"/>
      <c r="T107" s="284">
        <f t="shared" si="14"/>
        <v>60</v>
      </c>
      <c r="U107" s="285">
        <v>5</v>
      </c>
    </row>
    <row r="108" spans="1:21">
      <c r="A108" s="277" t="s">
        <v>36</v>
      </c>
      <c r="B108" s="287" t="s">
        <v>479</v>
      </c>
      <c r="C108" s="301" t="s">
        <v>752</v>
      </c>
      <c r="D108" s="280" t="s">
        <v>457</v>
      </c>
      <c r="E108" s="281">
        <v>31</v>
      </c>
      <c r="F108" s="282">
        <v>1</v>
      </c>
      <c r="G108" s="283">
        <v>1</v>
      </c>
      <c r="H108" s="284">
        <v>30</v>
      </c>
      <c r="I108" s="284">
        <v>30</v>
      </c>
      <c r="J108" s="284">
        <v>30</v>
      </c>
      <c r="K108" s="285">
        <v>30</v>
      </c>
      <c r="L108" s="284"/>
      <c r="M108" s="285"/>
      <c r="N108" s="284"/>
      <c r="O108" s="286"/>
      <c r="P108" s="286"/>
      <c r="Q108" s="286"/>
      <c r="R108" s="286"/>
      <c r="S108" s="285"/>
      <c r="T108" s="284">
        <f t="shared" si="14"/>
        <v>60</v>
      </c>
      <c r="U108" s="285">
        <v>5</v>
      </c>
    </row>
    <row r="109" spans="1:21" ht="89.25">
      <c r="A109" s="277" t="s">
        <v>36</v>
      </c>
      <c r="B109" s="278" t="s">
        <v>753</v>
      </c>
      <c r="C109" s="287" t="s">
        <v>754</v>
      </c>
      <c r="D109" s="280" t="s">
        <v>755</v>
      </c>
      <c r="E109" s="281">
        <v>29</v>
      </c>
      <c r="F109" s="282">
        <v>1</v>
      </c>
      <c r="G109" s="283">
        <v>1</v>
      </c>
      <c r="H109" s="284">
        <v>15</v>
      </c>
      <c r="I109" s="285">
        <v>15</v>
      </c>
      <c r="J109" s="284">
        <v>15</v>
      </c>
      <c r="K109" s="285">
        <v>15</v>
      </c>
      <c r="L109" s="284"/>
      <c r="M109" s="285"/>
      <c r="N109" s="284"/>
      <c r="O109" s="286"/>
      <c r="P109" s="286"/>
      <c r="Q109" s="286"/>
      <c r="R109" s="286"/>
      <c r="S109" s="285"/>
      <c r="T109" s="284">
        <f t="shared" si="14"/>
        <v>30</v>
      </c>
      <c r="U109" s="285">
        <v>3</v>
      </c>
    </row>
    <row r="110" spans="1:21" ht="89.25">
      <c r="A110" s="277" t="s">
        <v>36</v>
      </c>
      <c r="B110" s="287" t="s">
        <v>479</v>
      </c>
      <c r="C110" s="287" t="s">
        <v>754</v>
      </c>
      <c r="D110" s="280" t="s">
        <v>457</v>
      </c>
      <c r="E110" s="281">
        <v>31</v>
      </c>
      <c r="F110" s="282">
        <v>1</v>
      </c>
      <c r="G110" s="283">
        <v>1</v>
      </c>
      <c r="H110" s="284">
        <v>15</v>
      </c>
      <c r="I110" s="285">
        <v>15</v>
      </c>
      <c r="J110" s="284">
        <v>15</v>
      </c>
      <c r="K110" s="285">
        <v>15</v>
      </c>
      <c r="L110" s="284"/>
      <c r="M110" s="285"/>
      <c r="N110" s="284"/>
      <c r="O110" s="286"/>
      <c r="P110" s="286"/>
      <c r="Q110" s="286"/>
      <c r="R110" s="286"/>
      <c r="S110" s="285"/>
      <c r="T110" s="284">
        <f t="shared" si="14"/>
        <v>30</v>
      </c>
      <c r="U110" s="285">
        <v>3</v>
      </c>
    </row>
    <row r="111" spans="1:21" ht="63.75">
      <c r="A111" s="277" t="s">
        <v>36</v>
      </c>
      <c r="B111" s="278" t="s">
        <v>477</v>
      </c>
      <c r="C111" s="287" t="s">
        <v>756</v>
      </c>
      <c r="D111" s="280" t="s">
        <v>457</v>
      </c>
      <c r="E111" s="281">
        <v>29</v>
      </c>
      <c r="F111" s="282">
        <v>1</v>
      </c>
      <c r="G111" s="283">
        <v>1</v>
      </c>
      <c r="H111" s="284">
        <v>30</v>
      </c>
      <c r="I111" s="285">
        <v>30</v>
      </c>
      <c r="J111" s="284">
        <v>30</v>
      </c>
      <c r="K111" s="285">
        <v>30</v>
      </c>
      <c r="L111" s="284"/>
      <c r="M111" s="285"/>
      <c r="N111" s="284"/>
      <c r="O111" s="286"/>
      <c r="P111" s="286"/>
      <c r="Q111" s="286"/>
      <c r="R111" s="286"/>
      <c r="S111" s="285"/>
      <c r="T111" s="284">
        <f t="shared" si="14"/>
        <v>60</v>
      </c>
      <c r="U111" s="285">
        <v>6</v>
      </c>
    </row>
    <row r="112" spans="1:21" ht="63.75">
      <c r="A112" s="277" t="s">
        <v>36</v>
      </c>
      <c r="B112" s="287" t="s">
        <v>479</v>
      </c>
      <c r="C112" s="287" t="s">
        <v>756</v>
      </c>
      <c r="D112" s="280" t="s">
        <v>457</v>
      </c>
      <c r="E112" s="281">
        <v>31</v>
      </c>
      <c r="F112" s="282">
        <v>1</v>
      </c>
      <c r="G112" s="283">
        <v>1</v>
      </c>
      <c r="H112" s="284">
        <v>30</v>
      </c>
      <c r="I112" s="284">
        <v>30</v>
      </c>
      <c r="J112" s="284">
        <v>30</v>
      </c>
      <c r="K112" s="284">
        <v>30</v>
      </c>
      <c r="L112" s="284"/>
      <c r="M112" s="285"/>
      <c r="N112" s="284"/>
      <c r="O112" s="286"/>
      <c r="P112" s="286"/>
      <c r="Q112" s="286"/>
      <c r="R112" s="286"/>
      <c r="S112" s="285"/>
      <c r="T112" s="284">
        <f t="shared" si="14"/>
        <v>60</v>
      </c>
      <c r="U112" s="285">
        <v>6</v>
      </c>
    </row>
    <row r="113" spans="1:21" ht="38.25">
      <c r="A113" s="277" t="s">
        <v>36</v>
      </c>
      <c r="B113" s="278" t="s">
        <v>477</v>
      </c>
      <c r="C113" s="287" t="s">
        <v>757</v>
      </c>
      <c r="D113" s="280" t="s">
        <v>457</v>
      </c>
      <c r="E113" s="281">
        <v>29</v>
      </c>
      <c r="F113" s="282">
        <v>1</v>
      </c>
      <c r="G113" s="283">
        <v>1</v>
      </c>
      <c r="H113" s="284">
        <v>30</v>
      </c>
      <c r="I113" s="284">
        <v>30</v>
      </c>
      <c r="J113" s="284">
        <v>30</v>
      </c>
      <c r="K113" s="284">
        <v>30</v>
      </c>
      <c r="L113" s="284"/>
      <c r="M113" s="285"/>
      <c r="N113" s="284"/>
      <c r="O113" s="286"/>
      <c r="P113" s="286"/>
      <c r="Q113" s="286"/>
      <c r="R113" s="286"/>
      <c r="S113" s="285"/>
      <c r="T113" s="284">
        <f t="shared" ref="T113:T119" si="15">(I113+K113+M113+N113+O113+P113+Q113+R113+S113)</f>
        <v>60</v>
      </c>
      <c r="U113" s="285">
        <v>6</v>
      </c>
    </row>
    <row r="114" spans="1:21" ht="38.25">
      <c r="A114" s="277" t="s">
        <v>36</v>
      </c>
      <c r="B114" s="287" t="s">
        <v>479</v>
      </c>
      <c r="C114" s="287" t="s">
        <v>757</v>
      </c>
      <c r="D114" s="280" t="s">
        <v>457</v>
      </c>
      <c r="E114" s="281">
        <v>31</v>
      </c>
      <c r="F114" s="282">
        <v>1</v>
      </c>
      <c r="G114" s="283">
        <v>1</v>
      </c>
      <c r="H114" s="284">
        <v>30</v>
      </c>
      <c r="I114" s="284">
        <v>30</v>
      </c>
      <c r="J114" s="284">
        <v>30</v>
      </c>
      <c r="K114" s="284">
        <v>30</v>
      </c>
      <c r="L114" s="284"/>
      <c r="M114" s="285"/>
      <c r="N114" s="284"/>
      <c r="O114" s="286"/>
      <c r="P114" s="286"/>
      <c r="Q114" s="286"/>
      <c r="R114" s="286"/>
      <c r="S114" s="285"/>
      <c r="T114" s="284">
        <f t="shared" si="15"/>
        <v>60</v>
      </c>
      <c r="U114" s="285">
        <v>6</v>
      </c>
    </row>
    <row r="115" spans="1:21" ht="38.25">
      <c r="A115" s="87" t="s">
        <v>36</v>
      </c>
      <c r="B115" s="19" t="s">
        <v>731</v>
      </c>
      <c r="C115" s="19" t="s">
        <v>758</v>
      </c>
      <c r="D115" s="33" t="s">
        <v>733</v>
      </c>
      <c r="E115" s="35">
        <v>10</v>
      </c>
      <c r="F115" s="23">
        <v>1</v>
      </c>
      <c r="G115" s="24">
        <v>1</v>
      </c>
      <c r="H115" s="25">
        <v>15</v>
      </c>
      <c r="I115" s="25">
        <v>15</v>
      </c>
      <c r="J115" s="25">
        <v>15</v>
      </c>
      <c r="K115" s="25">
        <v>15</v>
      </c>
      <c r="L115" s="25"/>
      <c r="M115" s="41"/>
      <c r="N115" s="25"/>
      <c r="O115" s="42"/>
      <c r="P115" s="42"/>
      <c r="Q115" s="42"/>
      <c r="R115" s="42"/>
      <c r="S115" s="41"/>
      <c r="T115" s="25">
        <f t="shared" si="15"/>
        <v>30</v>
      </c>
      <c r="U115" s="41">
        <v>4</v>
      </c>
    </row>
    <row r="116" spans="1:21" ht="38.25">
      <c r="A116" s="87" t="s">
        <v>36</v>
      </c>
      <c r="B116" s="19" t="s">
        <v>731</v>
      </c>
      <c r="C116" s="19" t="s">
        <v>759</v>
      </c>
      <c r="D116" s="33" t="s">
        <v>733</v>
      </c>
      <c r="E116" s="35">
        <v>10</v>
      </c>
      <c r="F116" s="23">
        <v>1</v>
      </c>
      <c r="G116" s="24">
        <v>1</v>
      </c>
      <c r="H116" s="25">
        <v>30</v>
      </c>
      <c r="I116" s="25">
        <v>30</v>
      </c>
      <c r="J116" s="25">
        <v>15</v>
      </c>
      <c r="K116" s="25">
        <v>15</v>
      </c>
      <c r="L116" s="25"/>
      <c r="M116" s="41"/>
      <c r="N116" s="25"/>
      <c r="O116" s="42"/>
      <c r="P116" s="42"/>
      <c r="Q116" s="42"/>
      <c r="R116" s="42"/>
      <c r="S116" s="41"/>
      <c r="T116" s="25">
        <f t="shared" si="15"/>
        <v>45</v>
      </c>
      <c r="U116" s="41">
        <v>6</v>
      </c>
    </row>
    <row r="117" spans="1:21" ht="25.5">
      <c r="A117" s="87" t="s">
        <v>36</v>
      </c>
      <c r="B117" s="27" t="s">
        <v>729</v>
      </c>
      <c r="C117" s="19" t="s">
        <v>760</v>
      </c>
      <c r="D117" s="33" t="s">
        <v>735</v>
      </c>
      <c r="E117" s="35">
        <v>7</v>
      </c>
      <c r="F117" s="23">
        <v>1</v>
      </c>
      <c r="G117" s="24">
        <v>1</v>
      </c>
      <c r="H117" s="25">
        <v>15</v>
      </c>
      <c r="I117" s="25">
        <v>15</v>
      </c>
      <c r="J117" s="25">
        <v>15</v>
      </c>
      <c r="K117" s="25">
        <v>15</v>
      </c>
      <c r="L117" s="25"/>
      <c r="M117" s="41"/>
      <c r="N117" s="25"/>
      <c r="O117" s="42"/>
      <c r="P117" s="42"/>
      <c r="Q117" s="42"/>
      <c r="R117" s="42"/>
      <c r="S117" s="41"/>
      <c r="T117" s="25">
        <f t="shared" si="15"/>
        <v>30</v>
      </c>
      <c r="U117" s="41">
        <v>4</v>
      </c>
    </row>
    <row r="118" spans="1:21" ht="25.5">
      <c r="A118" s="87" t="s">
        <v>36</v>
      </c>
      <c r="B118" s="27" t="s">
        <v>729</v>
      </c>
      <c r="C118" s="19" t="s">
        <v>761</v>
      </c>
      <c r="D118" s="33" t="s">
        <v>735</v>
      </c>
      <c r="E118" s="35">
        <v>7</v>
      </c>
      <c r="F118" s="23">
        <v>1</v>
      </c>
      <c r="G118" s="24">
        <v>1</v>
      </c>
      <c r="H118" s="25">
        <v>30</v>
      </c>
      <c r="I118" s="25">
        <v>30</v>
      </c>
      <c r="J118" s="25">
        <v>15</v>
      </c>
      <c r="K118" s="25">
        <v>15</v>
      </c>
      <c r="L118" s="25"/>
      <c r="M118" s="41"/>
      <c r="N118" s="25"/>
      <c r="O118" s="42"/>
      <c r="P118" s="42"/>
      <c r="Q118" s="42"/>
      <c r="R118" s="42"/>
      <c r="S118" s="41"/>
      <c r="T118" s="25">
        <f t="shared" si="15"/>
        <v>45</v>
      </c>
      <c r="U118" s="41">
        <v>6</v>
      </c>
    </row>
    <row r="119" spans="1:21" ht="76.5">
      <c r="A119" s="87" t="s">
        <v>36</v>
      </c>
      <c r="B119" s="27" t="s">
        <v>729</v>
      </c>
      <c r="C119" s="19" t="s">
        <v>762</v>
      </c>
      <c r="D119" s="33" t="s">
        <v>735</v>
      </c>
      <c r="E119" s="35">
        <v>7</v>
      </c>
      <c r="F119" s="23">
        <v>1</v>
      </c>
      <c r="G119" s="24">
        <v>1</v>
      </c>
      <c r="H119" s="25">
        <v>30</v>
      </c>
      <c r="I119" s="25">
        <v>30</v>
      </c>
      <c r="J119" s="25">
        <v>30</v>
      </c>
      <c r="K119" s="25">
        <v>30</v>
      </c>
      <c r="L119" s="25"/>
      <c r="M119" s="41"/>
      <c r="N119" s="25"/>
      <c r="O119" s="42"/>
      <c r="P119" s="42"/>
      <c r="Q119" s="42"/>
      <c r="R119" s="42"/>
      <c r="S119" s="41"/>
      <c r="T119" s="25">
        <f t="shared" si="15"/>
        <v>60</v>
      </c>
      <c r="U119" s="41">
        <v>8</v>
      </c>
    </row>
    <row r="120" spans="1:21" ht="25.5">
      <c r="A120" s="87" t="s">
        <v>36</v>
      </c>
      <c r="B120" s="19" t="s">
        <v>738</v>
      </c>
      <c r="C120" s="19" t="s">
        <v>760</v>
      </c>
      <c r="D120" s="33" t="s">
        <v>735</v>
      </c>
      <c r="E120" s="35">
        <v>10</v>
      </c>
      <c r="F120" s="23">
        <v>1</v>
      </c>
      <c r="G120" s="24">
        <v>1</v>
      </c>
      <c r="H120" s="25">
        <v>15</v>
      </c>
      <c r="I120" s="25">
        <v>15</v>
      </c>
      <c r="J120" s="25">
        <v>15</v>
      </c>
      <c r="K120" s="25">
        <v>15</v>
      </c>
      <c r="L120" s="25"/>
      <c r="M120" s="41"/>
      <c r="N120" s="25"/>
      <c r="O120" s="42"/>
      <c r="P120" s="42"/>
      <c r="Q120" s="42"/>
      <c r="R120" s="42"/>
      <c r="S120" s="41"/>
      <c r="T120" s="25">
        <f t="shared" ref="T120:T129" si="16">(I120+K120+M120+N120+O120+P120+Q120+R120+S120)</f>
        <v>30</v>
      </c>
      <c r="U120" s="41">
        <v>4</v>
      </c>
    </row>
    <row r="121" spans="1:21" ht="25.5">
      <c r="A121" s="87" t="s">
        <v>36</v>
      </c>
      <c r="B121" s="19" t="s">
        <v>738</v>
      </c>
      <c r="C121" s="19" t="s">
        <v>761</v>
      </c>
      <c r="D121" s="33" t="s">
        <v>735</v>
      </c>
      <c r="E121" s="35">
        <v>10</v>
      </c>
      <c r="F121" s="23">
        <v>1</v>
      </c>
      <c r="G121" s="24">
        <v>1</v>
      </c>
      <c r="H121" s="25">
        <v>30</v>
      </c>
      <c r="I121" s="25">
        <v>30</v>
      </c>
      <c r="J121" s="25">
        <v>15</v>
      </c>
      <c r="K121" s="25">
        <v>15</v>
      </c>
      <c r="L121" s="25"/>
      <c r="M121" s="41"/>
      <c r="N121" s="25"/>
      <c r="O121" s="42"/>
      <c r="P121" s="42"/>
      <c r="Q121" s="42"/>
      <c r="R121" s="42"/>
      <c r="S121" s="41"/>
      <c r="T121" s="25">
        <f t="shared" si="16"/>
        <v>45</v>
      </c>
      <c r="U121" s="41">
        <v>6</v>
      </c>
    </row>
    <row r="122" spans="1:21" ht="76.5">
      <c r="A122" s="87" t="s">
        <v>36</v>
      </c>
      <c r="B122" s="19" t="s">
        <v>738</v>
      </c>
      <c r="C122" s="19" t="s">
        <v>762</v>
      </c>
      <c r="D122" s="33" t="s">
        <v>735</v>
      </c>
      <c r="E122" s="35">
        <v>10</v>
      </c>
      <c r="F122" s="23">
        <v>1</v>
      </c>
      <c r="G122" s="24">
        <v>1</v>
      </c>
      <c r="H122" s="25">
        <v>30</v>
      </c>
      <c r="I122" s="25">
        <v>30</v>
      </c>
      <c r="J122" s="25">
        <v>30</v>
      </c>
      <c r="K122" s="25">
        <v>30</v>
      </c>
      <c r="L122" s="25"/>
      <c r="M122" s="41"/>
      <c r="N122" s="25"/>
      <c r="O122" s="42"/>
      <c r="P122" s="42"/>
      <c r="Q122" s="42"/>
      <c r="R122" s="42"/>
      <c r="S122" s="41"/>
      <c r="T122" s="25">
        <f t="shared" si="16"/>
        <v>60</v>
      </c>
      <c r="U122" s="41">
        <v>8</v>
      </c>
    </row>
    <row r="123" spans="1:21" ht="76.5">
      <c r="A123" s="87" t="s">
        <v>36</v>
      </c>
      <c r="B123" s="19" t="s">
        <v>731</v>
      </c>
      <c r="C123" s="19" t="s">
        <v>763</v>
      </c>
      <c r="D123" s="33" t="s">
        <v>733</v>
      </c>
      <c r="E123" s="35">
        <v>10</v>
      </c>
      <c r="F123" s="23">
        <v>1</v>
      </c>
      <c r="G123" s="24">
        <v>1</v>
      </c>
      <c r="H123" s="25">
        <v>30</v>
      </c>
      <c r="I123" s="25">
        <v>30</v>
      </c>
      <c r="J123" s="25">
        <v>30</v>
      </c>
      <c r="K123" s="25">
        <v>30</v>
      </c>
      <c r="L123" s="25"/>
      <c r="M123" s="41"/>
      <c r="N123" s="25"/>
      <c r="O123" s="42"/>
      <c r="P123" s="42"/>
      <c r="Q123" s="42"/>
      <c r="R123" s="42"/>
      <c r="S123" s="41"/>
      <c r="T123" s="25">
        <f t="shared" si="16"/>
        <v>60</v>
      </c>
      <c r="U123" s="41">
        <v>8</v>
      </c>
    </row>
    <row r="124" spans="1:21" ht="102">
      <c r="A124" s="87" t="s">
        <v>36</v>
      </c>
      <c r="B124" s="19" t="s">
        <v>764</v>
      </c>
      <c r="C124" s="52" t="s">
        <v>765</v>
      </c>
      <c r="D124" s="21" t="s">
        <v>81</v>
      </c>
      <c r="E124" s="100" t="s">
        <v>766</v>
      </c>
      <c r="F124" s="23">
        <v>1</v>
      </c>
      <c r="G124" s="24">
        <v>1</v>
      </c>
      <c r="H124" s="25">
        <v>15</v>
      </c>
      <c r="I124" s="25">
        <v>15</v>
      </c>
      <c r="J124" s="25">
        <v>15</v>
      </c>
      <c r="K124" s="25">
        <v>15</v>
      </c>
      <c r="L124" s="25"/>
      <c r="M124" s="41"/>
      <c r="N124" s="25"/>
      <c r="O124" s="42"/>
      <c r="P124" s="42"/>
      <c r="Q124" s="42"/>
      <c r="R124" s="42"/>
      <c r="S124" s="41"/>
      <c r="T124" s="25">
        <f t="shared" si="16"/>
        <v>30</v>
      </c>
      <c r="U124" s="41">
        <v>3</v>
      </c>
    </row>
    <row r="125" spans="1:21" ht="89.25">
      <c r="A125" s="87" t="s">
        <v>36</v>
      </c>
      <c r="B125" s="19" t="s">
        <v>88</v>
      </c>
      <c r="C125" s="20" t="s">
        <v>767</v>
      </c>
      <c r="D125" s="21" t="s">
        <v>89</v>
      </c>
      <c r="E125" s="35">
        <v>46</v>
      </c>
      <c r="F125" s="23">
        <v>1</v>
      </c>
      <c r="G125" s="24">
        <v>2</v>
      </c>
      <c r="H125" s="25">
        <v>15</v>
      </c>
      <c r="I125" s="25">
        <v>15</v>
      </c>
      <c r="J125" s="25">
        <v>15</v>
      </c>
      <c r="K125" s="25">
        <v>30</v>
      </c>
      <c r="L125" s="25"/>
      <c r="M125" s="41"/>
      <c r="N125" s="25"/>
      <c r="O125" s="42"/>
      <c r="P125" s="42"/>
      <c r="Q125" s="42"/>
      <c r="R125" s="42"/>
      <c r="S125" s="41"/>
      <c r="T125" s="25">
        <f t="shared" si="16"/>
        <v>45</v>
      </c>
      <c r="U125" s="41">
        <v>3</v>
      </c>
    </row>
    <row r="126" spans="1:21" ht="18" customHeight="1">
      <c r="A126" s="277" t="s">
        <v>36</v>
      </c>
      <c r="B126" s="287" t="s">
        <v>579</v>
      </c>
      <c r="C126" s="287" t="s">
        <v>707</v>
      </c>
      <c r="D126" s="290" t="s">
        <v>78</v>
      </c>
      <c r="E126" s="281">
        <v>27</v>
      </c>
      <c r="F126" s="282">
        <v>1</v>
      </c>
      <c r="G126" s="283">
        <v>1</v>
      </c>
      <c r="H126" s="284">
        <v>45</v>
      </c>
      <c r="I126" s="284">
        <v>45</v>
      </c>
      <c r="J126" s="284">
        <v>30</v>
      </c>
      <c r="K126" s="284">
        <v>30</v>
      </c>
      <c r="L126" s="284"/>
      <c r="M126" s="285"/>
      <c r="N126" s="284"/>
      <c r="O126" s="286"/>
      <c r="P126" s="286"/>
      <c r="Q126" s="286"/>
      <c r="R126" s="286"/>
      <c r="S126" s="285"/>
      <c r="T126" s="284">
        <f t="shared" si="16"/>
        <v>75</v>
      </c>
      <c r="U126" s="285">
        <v>7</v>
      </c>
    </row>
    <row r="127" spans="1:21" ht="18" customHeight="1">
      <c r="A127" s="277" t="s">
        <v>36</v>
      </c>
      <c r="B127" s="287" t="s">
        <v>496</v>
      </c>
      <c r="C127" s="287" t="s">
        <v>707</v>
      </c>
      <c r="D127" s="290" t="s">
        <v>78</v>
      </c>
      <c r="E127" s="281">
        <v>25</v>
      </c>
      <c r="F127" s="282">
        <v>1</v>
      </c>
      <c r="G127" s="283">
        <v>1</v>
      </c>
      <c r="H127" s="284">
        <v>45</v>
      </c>
      <c r="I127" s="284">
        <v>45</v>
      </c>
      <c r="J127" s="284">
        <v>30</v>
      </c>
      <c r="K127" s="284">
        <v>30</v>
      </c>
      <c r="L127" s="284"/>
      <c r="M127" s="285"/>
      <c r="N127" s="284"/>
      <c r="O127" s="286"/>
      <c r="P127" s="286"/>
      <c r="Q127" s="286"/>
      <c r="R127" s="286"/>
      <c r="S127" s="285"/>
      <c r="T127" s="284">
        <f t="shared" si="16"/>
        <v>75</v>
      </c>
      <c r="U127" s="285">
        <v>7</v>
      </c>
    </row>
    <row r="128" spans="1:21">
      <c r="A128" s="277" t="s">
        <v>36</v>
      </c>
      <c r="B128" s="287" t="s">
        <v>579</v>
      </c>
      <c r="C128" s="287" t="s">
        <v>768</v>
      </c>
      <c r="D128" s="290" t="s">
        <v>78</v>
      </c>
      <c r="E128" s="281">
        <v>27</v>
      </c>
      <c r="F128" s="282">
        <v>1</v>
      </c>
      <c r="G128" s="283">
        <v>1</v>
      </c>
      <c r="H128" s="284">
        <v>30</v>
      </c>
      <c r="I128" s="284">
        <v>30</v>
      </c>
      <c r="J128" s="284">
        <v>15</v>
      </c>
      <c r="K128" s="284">
        <v>15</v>
      </c>
      <c r="L128" s="284"/>
      <c r="M128" s="285"/>
      <c r="N128" s="284"/>
      <c r="O128" s="286"/>
      <c r="P128" s="286"/>
      <c r="Q128" s="286"/>
      <c r="R128" s="286"/>
      <c r="S128" s="285"/>
      <c r="T128" s="284">
        <f t="shared" si="16"/>
        <v>45</v>
      </c>
      <c r="U128" s="285">
        <v>5</v>
      </c>
    </row>
    <row r="129" spans="1:21">
      <c r="A129" s="277" t="s">
        <v>36</v>
      </c>
      <c r="B129" s="287" t="s">
        <v>496</v>
      </c>
      <c r="C129" s="287" t="s">
        <v>768</v>
      </c>
      <c r="D129" s="290" t="s">
        <v>78</v>
      </c>
      <c r="E129" s="281">
        <v>25</v>
      </c>
      <c r="F129" s="282">
        <v>1</v>
      </c>
      <c r="G129" s="283">
        <v>1</v>
      </c>
      <c r="H129" s="284">
        <v>30</v>
      </c>
      <c r="I129" s="284">
        <v>30</v>
      </c>
      <c r="J129" s="284">
        <v>15</v>
      </c>
      <c r="K129" s="284">
        <v>15</v>
      </c>
      <c r="L129" s="284"/>
      <c r="M129" s="285"/>
      <c r="N129" s="284"/>
      <c r="O129" s="286"/>
      <c r="P129" s="286"/>
      <c r="Q129" s="286"/>
      <c r="R129" s="286"/>
      <c r="S129" s="285"/>
      <c r="T129" s="284">
        <f t="shared" si="16"/>
        <v>45</v>
      </c>
      <c r="U129" s="285">
        <v>5</v>
      </c>
    </row>
    <row r="130" spans="1:21" ht="51">
      <c r="A130" s="277" t="s">
        <v>36</v>
      </c>
      <c r="B130" s="287" t="s">
        <v>496</v>
      </c>
      <c r="C130" s="279" t="s">
        <v>769</v>
      </c>
      <c r="D130" s="290" t="s">
        <v>78</v>
      </c>
      <c r="E130" s="281">
        <v>25</v>
      </c>
      <c r="F130" s="282">
        <v>1</v>
      </c>
      <c r="G130" s="283">
        <v>1</v>
      </c>
      <c r="H130" s="284">
        <v>30</v>
      </c>
      <c r="I130" s="284">
        <v>30</v>
      </c>
      <c r="J130" s="298">
        <v>15</v>
      </c>
      <c r="K130" s="298">
        <v>15</v>
      </c>
      <c r="L130" s="298"/>
      <c r="M130" s="299"/>
      <c r="N130" s="298"/>
      <c r="O130" s="300"/>
      <c r="P130" s="300"/>
      <c r="Q130" s="300"/>
      <c r="R130" s="300"/>
      <c r="S130" s="299"/>
      <c r="T130" s="298">
        <f>I130+K130+M130</f>
        <v>45</v>
      </c>
      <c r="U130" s="299">
        <v>4</v>
      </c>
    </row>
    <row r="131" spans="1:21" ht="18.75" customHeight="1">
      <c r="A131" s="277" t="s">
        <v>36</v>
      </c>
      <c r="B131" s="297" t="s">
        <v>580</v>
      </c>
      <c r="C131" s="287" t="s">
        <v>714</v>
      </c>
      <c r="D131" s="280" t="s">
        <v>79</v>
      </c>
      <c r="E131" s="281">
        <v>21</v>
      </c>
      <c r="F131" s="282">
        <v>1</v>
      </c>
      <c r="G131" s="283">
        <v>1</v>
      </c>
      <c r="H131" s="284">
        <v>45</v>
      </c>
      <c r="I131" s="284">
        <v>45</v>
      </c>
      <c r="J131" s="284">
        <v>30</v>
      </c>
      <c r="K131" s="284">
        <v>30</v>
      </c>
      <c r="L131" s="284"/>
      <c r="M131" s="285"/>
      <c r="N131" s="284"/>
      <c r="O131" s="286"/>
      <c r="P131" s="286"/>
      <c r="Q131" s="286"/>
      <c r="R131" s="286"/>
      <c r="S131" s="285"/>
      <c r="T131" s="284">
        <f t="shared" ref="T131:T137" si="17">(I131+K131+M131+N131+O131+P131+Q131+R131+S131)</f>
        <v>75</v>
      </c>
      <c r="U131" s="285">
        <v>7</v>
      </c>
    </row>
    <row r="132" spans="1:21" ht="18.75" customHeight="1">
      <c r="A132" s="277" t="s">
        <v>36</v>
      </c>
      <c r="B132" s="297" t="s">
        <v>582</v>
      </c>
      <c r="C132" s="287" t="s">
        <v>714</v>
      </c>
      <c r="D132" s="280" t="s">
        <v>79</v>
      </c>
      <c r="E132" s="281">
        <v>18</v>
      </c>
      <c r="F132" s="282">
        <v>1</v>
      </c>
      <c r="G132" s="283">
        <v>1</v>
      </c>
      <c r="H132" s="284">
        <v>45</v>
      </c>
      <c r="I132" s="284">
        <v>45</v>
      </c>
      <c r="J132" s="284">
        <v>30</v>
      </c>
      <c r="K132" s="284">
        <v>30</v>
      </c>
      <c r="L132" s="284"/>
      <c r="M132" s="285"/>
      <c r="N132" s="284"/>
      <c r="O132" s="286"/>
      <c r="P132" s="286"/>
      <c r="Q132" s="286"/>
      <c r="R132" s="286"/>
      <c r="S132" s="285"/>
      <c r="T132" s="284">
        <f t="shared" si="17"/>
        <v>75</v>
      </c>
      <c r="U132" s="285">
        <v>7</v>
      </c>
    </row>
    <row r="133" spans="1:21">
      <c r="A133" s="277" t="s">
        <v>36</v>
      </c>
      <c r="B133" s="297" t="s">
        <v>580</v>
      </c>
      <c r="C133" s="287" t="s">
        <v>716</v>
      </c>
      <c r="D133" s="280" t="s">
        <v>79</v>
      </c>
      <c r="E133" s="281">
        <v>21</v>
      </c>
      <c r="F133" s="282">
        <v>1</v>
      </c>
      <c r="G133" s="283">
        <v>1</v>
      </c>
      <c r="H133" s="284">
        <v>30</v>
      </c>
      <c r="I133" s="284">
        <v>30</v>
      </c>
      <c r="J133" s="284">
        <v>30</v>
      </c>
      <c r="K133" s="284">
        <v>30</v>
      </c>
      <c r="L133" s="284"/>
      <c r="M133" s="285"/>
      <c r="N133" s="284"/>
      <c r="O133" s="286"/>
      <c r="P133" s="286"/>
      <c r="Q133" s="286"/>
      <c r="R133" s="286"/>
      <c r="S133" s="285"/>
      <c r="T133" s="284">
        <f t="shared" si="17"/>
        <v>60</v>
      </c>
      <c r="U133" s="285">
        <v>5</v>
      </c>
    </row>
    <row r="134" spans="1:21">
      <c r="A134" s="277" t="s">
        <v>36</v>
      </c>
      <c r="B134" s="297" t="s">
        <v>582</v>
      </c>
      <c r="C134" s="287" t="s">
        <v>716</v>
      </c>
      <c r="D134" s="280" t="s">
        <v>79</v>
      </c>
      <c r="E134" s="281">
        <v>18</v>
      </c>
      <c r="F134" s="282">
        <v>1</v>
      </c>
      <c r="G134" s="283">
        <v>1</v>
      </c>
      <c r="H134" s="284">
        <v>30</v>
      </c>
      <c r="I134" s="284">
        <v>30</v>
      </c>
      <c r="J134" s="284">
        <v>30</v>
      </c>
      <c r="K134" s="284">
        <v>30</v>
      </c>
      <c r="L134" s="284"/>
      <c r="M134" s="285"/>
      <c r="N134" s="284"/>
      <c r="O134" s="286"/>
      <c r="P134" s="286"/>
      <c r="Q134" s="286"/>
      <c r="R134" s="286"/>
      <c r="S134" s="285"/>
      <c r="T134" s="284">
        <f t="shared" si="17"/>
        <v>60</v>
      </c>
      <c r="U134" s="285">
        <v>5</v>
      </c>
    </row>
    <row r="135" spans="1:21" ht="51">
      <c r="A135" s="277" t="s">
        <v>36</v>
      </c>
      <c r="B135" s="297" t="s">
        <v>580</v>
      </c>
      <c r="C135" s="287" t="s">
        <v>770</v>
      </c>
      <c r="D135" s="280" t="s">
        <v>79</v>
      </c>
      <c r="E135" s="281">
        <v>21</v>
      </c>
      <c r="F135" s="282">
        <v>1</v>
      </c>
      <c r="G135" s="283">
        <v>1</v>
      </c>
      <c r="H135" s="284">
        <v>30</v>
      </c>
      <c r="I135" s="285">
        <v>30</v>
      </c>
      <c r="J135" s="284">
        <v>15</v>
      </c>
      <c r="K135" s="285">
        <v>15</v>
      </c>
      <c r="L135" s="284"/>
      <c r="M135" s="285"/>
      <c r="N135" s="284"/>
      <c r="O135" s="286"/>
      <c r="P135" s="286"/>
      <c r="Q135" s="286"/>
      <c r="R135" s="286"/>
      <c r="S135" s="285"/>
      <c r="T135" s="284">
        <f t="shared" si="17"/>
        <v>45</v>
      </c>
      <c r="U135" s="285">
        <v>3</v>
      </c>
    </row>
    <row r="136" spans="1:21" ht="51">
      <c r="A136" s="277" t="s">
        <v>36</v>
      </c>
      <c r="B136" s="297" t="s">
        <v>582</v>
      </c>
      <c r="C136" s="287" t="s">
        <v>770</v>
      </c>
      <c r="D136" s="280" t="s">
        <v>79</v>
      </c>
      <c r="E136" s="281">
        <v>18</v>
      </c>
      <c r="F136" s="282">
        <v>1</v>
      </c>
      <c r="G136" s="283">
        <v>1</v>
      </c>
      <c r="H136" s="284">
        <v>30</v>
      </c>
      <c r="I136" s="285">
        <v>30</v>
      </c>
      <c r="J136" s="284">
        <v>15</v>
      </c>
      <c r="K136" s="285">
        <v>15</v>
      </c>
      <c r="L136" s="284"/>
      <c r="M136" s="285"/>
      <c r="N136" s="284"/>
      <c r="O136" s="286"/>
      <c r="P136" s="286"/>
      <c r="Q136" s="286"/>
      <c r="R136" s="286"/>
      <c r="S136" s="285"/>
      <c r="T136" s="284">
        <f t="shared" si="17"/>
        <v>45</v>
      </c>
      <c r="U136" s="285">
        <v>3</v>
      </c>
    </row>
    <row r="137" spans="1:21" ht="63.75">
      <c r="A137" s="277" t="s">
        <v>36</v>
      </c>
      <c r="B137" s="278" t="s">
        <v>55</v>
      </c>
      <c r="C137" s="287" t="s">
        <v>771</v>
      </c>
      <c r="D137" s="280" t="s">
        <v>29</v>
      </c>
      <c r="E137" s="281">
        <v>30</v>
      </c>
      <c r="F137" s="282">
        <v>1</v>
      </c>
      <c r="G137" s="283">
        <v>1</v>
      </c>
      <c r="H137" s="284">
        <v>15</v>
      </c>
      <c r="I137" s="284">
        <v>15</v>
      </c>
      <c r="J137" s="284">
        <v>15</v>
      </c>
      <c r="K137" s="284">
        <v>15</v>
      </c>
      <c r="L137" s="284"/>
      <c r="M137" s="285"/>
      <c r="N137" s="284"/>
      <c r="O137" s="286"/>
      <c r="P137" s="286"/>
      <c r="Q137" s="286"/>
      <c r="R137" s="286"/>
      <c r="S137" s="285"/>
      <c r="T137" s="284">
        <f t="shared" si="17"/>
        <v>30</v>
      </c>
      <c r="U137" s="285">
        <v>3</v>
      </c>
    </row>
    <row r="138" spans="1:21" ht="38.25">
      <c r="A138" s="277" t="s">
        <v>36</v>
      </c>
      <c r="B138" s="297" t="s">
        <v>517</v>
      </c>
      <c r="C138" s="279" t="s">
        <v>712</v>
      </c>
      <c r="D138" s="280" t="s">
        <v>457</v>
      </c>
      <c r="E138" s="281">
        <v>13</v>
      </c>
      <c r="F138" s="282">
        <v>1</v>
      </c>
      <c r="G138" s="283">
        <v>1</v>
      </c>
      <c r="H138" s="284">
        <v>30</v>
      </c>
      <c r="I138" s="284">
        <v>30</v>
      </c>
      <c r="J138" s="284">
        <v>15</v>
      </c>
      <c r="K138" s="284">
        <v>15</v>
      </c>
      <c r="L138" s="284"/>
      <c r="M138" s="285"/>
      <c r="N138" s="284"/>
      <c r="O138" s="286"/>
      <c r="P138" s="286"/>
      <c r="Q138" s="286"/>
      <c r="R138" s="286"/>
      <c r="S138" s="285"/>
      <c r="T138" s="284">
        <f t="shared" ref="T138:T142" si="18">(I138+K138+M138+N138+O138+P138+Q138+R138+S138)</f>
        <v>45</v>
      </c>
      <c r="U138" s="285">
        <v>5</v>
      </c>
    </row>
    <row r="139" spans="1:21" ht="51">
      <c r="A139" s="277" t="s">
        <v>36</v>
      </c>
      <c r="B139" s="297" t="s">
        <v>515</v>
      </c>
      <c r="C139" s="279" t="s">
        <v>772</v>
      </c>
      <c r="D139" s="280" t="s">
        <v>457</v>
      </c>
      <c r="E139" s="281">
        <v>8</v>
      </c>
      <c r="F139" s="282">
        <v>1</v>
      </c>
      <c r="G139" s="283">
        <v>1</v>
      </c>
      <c r="H139" s="284">
        <v>30</v>
      </c>
      <c r="I139" s="284">
        <v>30</v>
      </c>
      <c r="J139" s="284">
        <v>15</v>
      </c>
      <c r="K139" s="284">
        <v>15</v>
      </c>
      <c r="L139" s="284"/>
      <c r="M139" s="285"/>
      <c r="N139" s="284"/>
      <c r="O139" s="286"/>
      <c r="P139" s="286"/>
      <c r="Q139" s="286"/>
      <c r="R139" s="286"/>
      <c r="S139" s="285"/>
      <c r="T139" s="284">
        <f t="shared" si="18"/>
        <v>45</v>
      </c>
      <c r="U139" s="285">
        <v>5</v>
      </c>
    </row>
    <row r="140" spans="1:21" ht="51">
      <c r="A140" s="277" t="s">
        <v>36</v>
      </c>
      <c r="B140" s="279" t="s">
        <v>773</v>
      </c>
      <c r="C140" s="279" t="s">
        <v>774</v>
      </c>
      <c r="D140" s="279" t="s">
        <v>775</v>
      </c>
      <c r="E140" s="305" t="s">
        <v>776</v>
      </c>
      <c r="F140" s="282">
        <v>1</v>
      </c>
      <c r="G140" s="283">
        <v>1</v>
      </c>
      <c r="H140" s="284">
        <v>5</v>
      </c>
      <c r="I140" s="284">
        <v>5</v>
      </c>
      <c r="J140" s="284">
        <v>5</v>
      </c>
      <c r="K140" s="284">
        <v>5</v>
      </c>
      <c r="L140" s="284"/>
      <c r="M140" s="285"/>
      <c r="N140" s="284"/>
      <c r="O140" s="286"/>
      <c r="P140" s="286"/>
      <c r="Q140" s="286"/>
      <c r="R140" s="286"/>
      <c r="S140" s="285"/>
      <c r="T140" s="284">
        <f t="shared" si="18"/>
        <v>10</v>
      </c>
      <c r="U140" s="285">
        <v>3</v>
      </c>
    </row>
    <row r="141" spans="1:21">
      <c r="A141" s="277" t="s">
        <v>36</v>
      </c>
      <c r="B141" s="287" t="s">
        <v>535</v>
      </c>
      <c r="C141" s="287" t="s">
        <v>752</v>
      </c>
      <c r="D141" s="280" t="s">
        <v>457</v>
      </c>
      <c r="E141" s="281">
        <v>5</v>
      </c>
      <c r="F141" s="282">
        <v>1</v>
      </c>
      <c r="G141" s="283">
        <v>1</v>
      </c>
      <c r="H141" s="284">
        <v>10</v>
      </c>
      <c r="I141" s="284">
        <v>10</v>
      </c>
      <c r="J141" s="284">
        <v>10</v>
      </c>
      <c r="K141" s="284">
        <v>10</v>
      </c>
      <c r="L141" s="284"/>
      <c r="M141" s="285"/>
      <c r="N141" s="284"/>
      <c r="O141" s="286"/>
      <c r="P141" s="286"/>
      <c r="Q141" s="286"/>
      <c r="R141" s="286"/>
      <c r="S141" s="285"/>
      <c r="T141" s="284">
        <f t="shared" si="18"/>
        <v>20</v>
      </c>
      <c r="U141" s="285">
        <v>5</v>
      </c>
    </row>
    <row r="142" spans="1:21">
      <c r="A142" s="277" t="s">
        <v>36</v>
      </c>
      <c r="B142" s="287" t="s">
        <v>536</v>
      </c>
      <c r="C142" s="301" t="s">
        <v>690</v>
      </c>
      <c r="D142" s="280" t="s">
        <v>79</v>
      </c>
      <c r="E142" s="281">
        <v>10</v>
      </c>
      <c r="F142" s="282">
        <v>1</v>
      </c>
      <c r="G142" s="283">
        <v>1</v>
      </c>
      <c r="H142" s="284">
        <v>15</v>
      </c>
      <c r="I142" s="284">
        <v>15</v>
      </c>
      <c r="J142" s="284">
        <v>15</v>
      </c>
      <c r="K142" s="284">
        <v>15</v>
      </c>
      <c r="L142" s="284"/>
      <c r="M142" s="285"/>
      <c r="N142" s="284"/>
      <c r="O142" s="286"/>
      <c r="P142" s="286"/>
      <c r="Q142" s="286"/>
      <c r="R142" s="286"/>
      <c r="S142" s="285"/>
      <c r="T142" s="284">
        <f t="shared" si="18"/>
        <v>30</v>
      </c>
      <c r="U142" s="285">
        <v>8</v>
      </c>
    </row>
    <row r="143" spans="1:21" ht="38.25">
      <c r="A143" s="277" t="s">
        <v>36</v>
      </c>
      <c r="B143" s="287" t="s">
        <v>536</v>
      </c>
      <c r="C143" s="287" t="s">
        <v>777</v>
      </c>
      <c r="D143" s="280" t="s">
        <v>79</v>
      </c>
      <c r="E143" s="281">
        <v>10</v>
      </c>
      <c r="F143" s="282">
        <v>1</v>
      </c>
      <c r="G143" s="283">
        <v>1</v>
      </c>
      <c r="H143" s="284">
        <v>10</v>
      </c>
      <c r="I143" s="284">
        <v>10</v>
      </c>
      <c r="J143" s="284">
        <v>10</v>
      </c>
      <c r="K143" s="284">
        <v>10</v>
      </c>
      <c r="L143" s="284"/>
      <c r="M143" s="285"/>
      <c r="N143" s="284"/>
      <c r="O143" s="286"/>
      <c r="P143" s="286"/>
      <c r="Q143" s="286"/>
      <c r="R143" s="286"/>
      <c r="S143" s="285"/>
      <c r="T143" s="284">
        <f t="shared" ref="T143:T150" si="19">(I143+K143+M143+N143+O143+P143+Q143+R143+S143)</f>
        <v>20</v>
      </c>
      <c r="U143" s="285">
        <v>5</v>
      </c>
    </row>
    <row r="144" spans="1:21" ht="51">
      <c r="A144" s="277" t="s">
        <v>36</v>
      </c>
      <c r="B144" s="287" t="s">
        <v>595</v>
      </c>
      <c r="C144" s="287" t="s">
        <v>717</v>
      </c>
      <c r="D144" s="280" t="s">
        <v>79</v>
      </c>
      <c r="E144" s="281">
        <v>5</v>
      </c>
      <c r="F144" s="282">
        <v>1</v>
      </c>
      <c r="G144" s="283">
        <v>1</v>
      </c>
      <c r="H144" s="284">
        <v>15</v>
      </c>
      <c r="I144" s="284">
        <v>15</v>
      </c>
      <c r="J144" s="284">
        <v>15</v>
      </c>
      <c r="K144" s="284">
        <v>15</v>
      </c>
      <c r="L144" s="284"/>
      <c r="M144" s="285"/>
      <c r="N144" s="284"/>
      <c r="O144" s="286"/>
      <c r="P144" s="286"/>
      <c r="Q144" s="286"/>
      <c r="R144" s="286"/>
      <c r="S144" s="285"/>
      <c r="T144" s="284">
        <f t="shared" si="19"/>
        <v>30</v>
      </c>
      <c r="U144" s="285">
        <v>7</v>
      </c>
    </row>
    <row r="145" spans="1:21" ht="63">
      <c r="A145" s="277" t="s">
        <v>36</v>
      </c>
      <c r="B145" s="287" t="s">
        <v>595</v>
      </c>
      <c r="C145" s="287" t="s">
        <v>778</v>
      </c>
      <c r="D145" s="280" t="s">
        <v>79</v>
      </c>
      <c r="E145" s="281">
        <v>5</v>
      </c>
      <c r="F145" s="282">
        <v>1</v>
      </c>
      <c r="G145" s="283">
        <v>1</v>
      </c>
      <c r="H145" s="284">
        <v>10</v>
      </c>
      <c r="I145" s="284">
        <v>10</v>
      </c>
      <c r="J145" s="284">
        <v>5</v>
      </c>
      <c r="K145" s="284">
        <v>5</v>
      </c>
      <c r="L145" s="284"/>
      <c r="M145" s="285"/>
      <c r="N145" s="284"/>
      <c r="O145" s="286"/>
      <c r="P145" s="286"/>
      <c r="Q145" s="286"/>
      <c r="R145" s="286"/>
      <c r="S145" s="285"/>
      <c r="T145" s="284">
        <f t="shared" si="19"/>
        <v>15</v>
      </c>
      <c r="U145" s="285">
        <v>3</v>
      </c>
    </row>
    <row r="146" spans="1:21" ht="38.25">
      <c r="A146" s="277" t="s">
        <v>36</v>
      </c>
      <c r="B146" s="297" t="s">
        <v>539</v>
      </c>
      <c r="C146" s="279" t="s">
        <v>779</v>
      </c>
      <c r="D146" s="280" t="s">
        <v>64</v>
      </c>
      <c r="E146" s="281">
        <v>9</v>
      </c>
      <c r="F146" s="282">
        <v>1</v>
      </c>
      <c r="G146" s="283">
        <v>1</v>
      </c>
      <c r="H146" s="284">
        <v>10</v>
      </c>
      <c r="I146" s="284">
        <v>10</v>
      </c>
      <c r="J146" s="284">
        <v>10</v>
      </c>
      <c r="K146" s="284">
        <v>10</v>
      </c>
      <c r="L146" s="284"/>
      <c r="M146" s="285"/>
      <c r="N146" s="284"/>
      <c r="O146" s="286"/>
      <c r="P146" s="286"/>
      <c r="Q146" s="286"/>
      <c r="R146" s="286"/>
      <c r="S146" s="285"/>
      <c r="T146" s="284">
        <f t="shared" si="19"/>
        <v>20</v>
      </c>
      <c r="U146" s="285">
        <v>5</v>
      </c>
    </row>
    <row r="147" spans="1:21" ht="63.75">
      <c r="A147" s="277" t="s">
        <v>36</v>
      </c>
      <c r="B147" s="287" t="s">
        <v>780</v>
      </c>
      <c r="C147" s="287" t="s">
        <v>670</v>
      </c>
      <c r="D147" s="280" t="s">
        <v>37</v>
      </c>
      <c r="E147" s="281" t="s">
        <v>781</v>
      </c>
      <c r="F147" s="282">
        <v>1</v>
      </c>
      <c r="G147" s="283">
        <v>1</v>
      </c>
      <c r="H147" s="284">
        <v>20</v>
      </c>
      <c r="I147" s="284">
        <v>20</v>
      </c>
      <c r="J147" s="284">
        <v>10</v>
      </c>
      <c r="K147" s="284">
        <v>10</v>
      </c>
      <c r="L147" s="284"/>
      <c r="M147" s="285"/>
      <c r="N147" s="284"/>
      <c r="O147" s="286"/>
      <c r="P147" s="286"/>
      <c r="Q147" s="286"/>
      <c r="R147" s="286"/>
      <c r="S147" s="285"/>
      <c r="T147" s="284">
        <f t="shared" si="19"/>
        <v>30</v>
      </c>
      <c r="U147" s="285">
        <v>8</v>
      </c>
    </row>
    <row r="148" spans="1:21" ht="89.25">
      <c r="A148" s="277" t="s">
        <v>36</v>
      </c>
      <c r="B148" s="287" t="s">
        <v>782</v>
      </c>
      <c r="C148" s="287" t="s">
        <v>783</v>
      </c>
      <c r="D148" s="280" t="s">
        <v>97</v>
      </c>
      <c r="E148" s="281" t="s">
        <v>784</v>
      </c>
      <c r="F148" s="282">
        <v>1</v>
      </c>
      <c r="G148" s="283">
        <v>2</v>
      </c>
      <c r="H148" s="284">
        <v>15</v>
      </c>
      <c r="I148" s="285">
        <v>15</v>
      </c>
      <c r="J148" s="284">
        <v>15</v>
      </c>
      <c r="K148" s="285">
        <v>30</v>
      </c>
      <c r="L148" s="284"/>
      <c r="M148" s="285"/>
      <c r="N148" s="284"/>
      <c r="O148" s="286"/>
      <c r="P148" s="286"/>
      <c r="Q148" s="286"/>
      <c r="R148" s="286"/>
      <c r="S148" s="285"/>
      <c r="T148" s="284">
        <f t="shared" si="19"/>
        <v>45</v>
      </c>
      <c r="U148" s="285">
        <v>3</v>
      </c>
    </row>
    <row r="149" spans="1:21">
      <c r="A149" s="306" t="s">
        <v>27</v>
      </c>
      <c r="B149" s="287" t="s">
        <v>615</v>
      </c>
      <c r="C149" s="279" t="s">
        <v>39</v>
      </c>
      <c r="D149" s="280" t="s">
        <v>78</v>
      </c>
      <c r="E149" s="307">
        <v>25</v>
      </c>
      <c r="F149" s="308"/>
      <c r="G149" s="308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299">
        <v>30</v>
      </c>
      <c r="T149" s="284">
        <f t="shared" si="19"/>
        <v>30</v>
      </c>
      <c r="U149" s="299">
        <v>6</v>
      </c>
    </row>
    <row r="150" spans="1:21">
      <c r="A150" s="306" t="s">
        <v>27</v>
      </c>
      <c r="B150" s="287" t="s">
        <v>616</v>
      </c>
      <c r="C150" s="279" t="s">
        <v>39</v>
      </c>
      <c r="D150" s="280" t="s">
        <v>78</v>
      </c>
      <c r="E150" s="307">
        <v>34</v>
      </c>
      <c r="F150" s="308"/>
      <c r="G150" s="308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299">
        <v>30</v>
      </c>
      <c r="T150" s="284">
        <f t="shared" si="19"/>
        <v>30</v>
      </c>
      <c r="U150" s="299">
        <v>6</v>
      </c>
    </row>
    <row r="151" spans="1:21">
      <c r="A151" s="277" t="s">
        <v>27</v>
      </c>
      <c r="B151" s="287" t="s">
        <v>619</v>
      </c>
      <c r="C151" s="279" t="s">
        <v>39</v>
      </c>
      <c r="D151" s="280" t="s">
        <v>79</v>
      </c>
      <c r="E151" s="307">
        <v>40</v>
      </c>
      <c r="F151" s="308"/>
      <c r="G151" s="308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299">
        <v>30</v>
      </c>
      <c r="T151" s="284">
        <f t="shared" ref="T151:T165" si="20">(I151+K151+M151+N151+O151+P151+Q151+R151+S151)</f>
        <v>30</v>
      </c>
      <c r="U151" s="299">
        <v>6</v>
      </c>
    </row>
    <row r="152" spans="1:21">
      <c r="A152" s="277" t="s">
        <v>27</v>
      </c>
      <c r="B152" s="287" t="s">
        <v>620</v>
      </c>
      <c r="C152" s="279" t="s">
        <v>39</v>
      </c>
      <c r="D152" s="280" t="s">
        <v>79</v>
      </c>
      <c r="E152" s="307">
        <v>29</v>
      </c>
      <c r="F152" s="308"/>
      <c r="G152" s="308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299">
        <v>30</v>
      </c>
      <c r="T152" s="284">
        <f t="shared" si="20"/>
        <v>30</v>
      </c>
      <c r="U152" s="299">
        <v>6</v>
      </c>
    </row>
    <row r="153" spans="1:21">
      <c r="A153" s="277" t="s">
        <v>27</v>
      </c>
      <c r="B153" s="287" t="s">
        <v>579</v>
      </c>
      <c r="C153" s="279" t="s">
        <v>39</v>
      </c>
      <c r="D153" s="290" t="s">
        <v>78</v>
      </c>
      <c r="E153" s="281">
        <v>27</v>
      </c>
      <c r="F153" s="309"/>
      <c r="G153" s="308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299">
        <v>30</v>
      </c>
      <c r="T153" s="284">
        <f t="shared" si="20"/>
        <v>30</v>
      </c>
      <c r="U153" s="310">
        <v>9</v>
      </c>
    </row>
    <row r="154" spans="1:21">
      <c r="A154" s="277" t="s">
        <v>27</v>
      </c>
      <c r="B154" s="287" t="s">
        <v>496</v>
      </c>
      <c r="C154" s="279" t="s">
        <v>39</v>
      </c>
      <c r="D154" s="290" t="s">
        <v>78</v>
      </c>
      <c r="E154" s="281">
        <v>25</v>
      </c>
      <c r="F154" s="309"/>
      <c r="G154" s="308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299">
        <v>30</v>
      </c>
      <c r="T154" s="284">
        <f t="shared" si="20"/>
        <v>30</v>
      </c>
      <c r="U154" s="310">
        <v>9</v>
      </c>
    </row>
    <row r="155" spans="1:21">
      <c r="A155" s="277" t="s">
        <v>27</v>
      </c>
      <c r="B155" s="297" t="s">
        <v>580</v>
      </c>
      <c r="C155" s="279" t="s">
        <v>39</v>
      </c>
      <c r="D155" s="280" t="s">
        <v>79</v>
      </c>
      <c r="E155" s="281">
        <v>21</v>
      </c>
      <c r="F155" s="309"/>
      <c r="G155" s="308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299">
        <v>30</v>
      </c>
      <c r="T155" s="284">
        <f t="shared" si="20"/>
        <v>30</v>
      </c>
      <c r="U155" s="310">
        <v>9</v>
      </c>
    </row>
    <row r="156" spans="1:21">
      <c r="A156" s="277" t="s">
        <v>27</v>
      </c>
      <c r="B156" s="297" t="s">
        <v>582</v>
      </c>
      <c r="C156" s="279" t="s">
        <v>39</v>
      </c>
      <c r="D156" s="280" t="s">
        <v>79</v>
      </c>
      <c r="E156" s="281">
        <v>18</v>
      </c>
      <c r="F156" s="309"/>
      <c r="G156" s="308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299">
        <v>30</v>
      </c>
      <c r="T156" s="284">
        <f t="shared" si="20"/>
        <v>30</v>
      </c>
      <c r="U156" s="310">
        <v>9</v>
      </c>
    </row>
    <row r="157" spans="1:21" ht="25.5">
      <c r="A157" s="277" t="s">
        <v>36</v>
      </c>
      <c r="B157" s="297" t="s">
        <v>808</v>
      </c>
      <c r="C157" s="279" t="s">
        <v>39</v>
      </c>
      <c r="D157" s="280" t="s">
        <v>79</v>
      </c>
      <c r="E157" s="307" t="s">
        <v>811</v>
      </c>
      <c r="F157" s="308"/>
      <c r="G157" s="308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10">
        <v>30</v>
      </c>
      <c r="T157" s="284">
        <f t="shared" si="20"/>
        <v>30</v>
      </c>
      <c r="U157" s="310">
        <v>21</v>
      </c>
    </row>
    <row r="158" spans="1:21" ht="25.5">
      <c r="A158" s="277" t="s">
        <v>36</v>
      </c>
      <c r="B158" s="279" t="s">
        <v>809</v>
      </c>
      <c r="C158" s="279" t="s">
        <v>39</v>
      </c>
      <c r="D158" s="280" t="s">
        <v>79</v>
      </c>
      <c r="E158" s="307" t="s">
        <v>810</v>
      </c>
      <c r="F158" s="308"/>
      <c r="G158" s="308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10">
        <v>30</v>
      </c>
      <c r="T158" s="284">
        <f t="shared" si="20"/>
        <v>30</v>
      </c>
      <c r="U158" s="310">
        <v>21</v>
      </c>
    </row>
    <row r="159" spans="1:21" ht="38.25">
      <c r="A159" s="277" t="s">
        <v>36</v>
      </c>
      <c r="B159" s="297" t="s">
        <v>812</v>
      </c>
      <c r="C159" s="279" t="s">
        <v>39</v>
      </c>
      <c r="D159" s="302" t="s">
        <v>78</v>
      </c>
      <c r="E159" s="307" t="s">
        <v>46</v>
      </c>
      <c r="F159" s="308"/>
      <c r="G159" s="308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10">
        <v>30</v>
      </c>
      <c r="T159" s="284">
        <f t="shared" si="20"/>
        <v>30</v>
      </c>
      <c r="U159" s="310">
        <v>30</v>
      </c>
    </row>
    <row r="160" spans="1:21" ht="38.25">
      <c r="A160" s="311" t="s">
        <v>36</v>
      </c>
      <c r="B160" s="279" t="s">
        <v>806</v>
      </c>
      <c r="C160" s="279" t="s">
        <v>51</v>
      </c>
      <c r="D160" s="279" t="s">
        <v>723</v>
      </c>
      <c r="E160" s="308">
        <v>8</v>
      </c>
      <c r="F160" s="308"/>
      <c r="G160" s="308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284">
        <f t="shared" si="20"/>
        <v>0</v>
      </c>
      <c r="U160" s="300">
        <v>6</v>
      </c>
    </row>
    <row r="161" spans="1:21" ht="38.25">
      <c r="A161" s="311" t="s">
        <v>36</v>
      </c>
      <c r="B161" s="279" t="s">
        <v>806</v>
      </c>
      <c r="C161" s="279" t="s">
        <v>52</v>
      </c>
      <c r="D161" s="279" t="s">
        <v>723</v>
      </c>
      <c r="E161" s="308">
        <v>8</v>
      </c>
      <c r="F161" s="308"/>
      <c r="G161" s="308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284">
        <f t="shared" si="20"/>
        <v>0</v>
      </c>
      <c r="U161" s="300">
        <v>6</v>
      </c>
    </row>
    <row r="162" spans="1:21" ht="38.25">
      <c r="A162" s="311" t="s">
        <v>36</v>
      </c>
      <c r="B162" s="279" t="s">
        <v>722</v>
      </c>
      <c r="C162" s="279" t="s">
        <v>51</v>
      </c>
      <c r="D162" s="279" t="s">
        <v>723</v>
      </c>
      <c r="E162" s="308">
        <v>8</v>
      </c>
      <c r="F162" s="308"/>
      <c r="G162" s="308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284">
        <f t="shared" si="20"/>
        <v>0</v>
      </c>
      <c r="U162" s="300">
        <v>6</v>
      </c>
    </row>
    <row r="163" spans="1:21" ht="76.5">
      <c r="A163" s="311" t="s">
        <v>36</v>
      </c>
      <c r="B163" s="279" t="s">
        <v>785</v>
      </c>
      <c r="C163" s="279" t="s">
        <v>52</v>
      </c>
      <c r="D163" s="279" t="s">
        <v>786</v>
      </c>
      <c r="E163" s="308" t="s">
        <v>807</v>
      </c>
      <c r="F163" s="308"/>
      <c r="G163" s="308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284">
        <f t="shared" si="20"/>
        <v>0</v>
      </c>
      <c r="U163" s="300">
        <v>6</v>
      </c>
    </row>
    <row r="164" spans="1:21" ht="38.25">
      <c r="A164" s="311" t="s">
        <v>36</v>
      </c>
      <c r="B164" s="279" t="s">
        <v>806</v>
      </c>
      <c r="C164" s="279" t="s">
        <v>813</v>
      </c>
      <c r="D164" s="279" t="s">
        <v>723</v>
      </c>
      <c r="E164" s="308">
        <v>8</v>
      </c>
      <c r="F164" s="308"/>
      <c r="G164" s="308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>
        <v>320</v>
      </c>
      <c r="T164" s="284">
        <f t="shared" si="20"/>
        <v>320</v>
      </c>
      <c r="U164" s="300">
        <v>18</v>
      </c>
    </row>
    <row r="165" spans="1:21" ht="76.5">
      <c r="A165" s="311" t="s">
        <v>36</v>
      </c>
      <c r="B165" s="279" t="s">
        <v>785</v>
      </c>
      <c r="C165" s="279" t="s">
        <v>813</v>
      </c>
      <c r="D165" s="279" t="s">
        <v>786</v>
      </c>
      <c r="E165" s="308" t="s">
        <v>807</v>
      </c>
      <c r="F165" s="308"/>
      <c r="G165" s="308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>
        <v>640</v>
      </c>
      <c r="T165" s="284">
        <f t="shared" si="20"/>
        <v>640</v>
      </c>
      <c r="U165" s="300">
        <v>18</v>
      </c>
    </row>
    <row r="166" spans="1:21" ht="24.75" customHeight="1"/>
    <row r="167" spans="1:21">
      <c r="T167" s="1">
        <f>SUM(T12:T166)</f>
        <v>7920</v>
      </c>
    </row>
    <row r="168" spans="1:21" ht="18.75" customHeight="1">
      <c r="A168" s="396" t="s">
        <v>41</v>
      </c>
      <c r="B168" s="397"/>
      <c r="C168" s="398"/>
      <c r="D168" s="49" t="s">
        <v>21</v>
      </c>
    </row>
    <row r="169" spans="1:21" ht="21.75" customHeight="1">
      <c r="A169" s="399" t="s">
        <v>42</v>
      </c>
      <c r="B169" s="400"/>
      <c r="C169" s="401"/>
      <c r="D169" s="80">
        <f>SUM(T12:T94)</f>
        <v>3890</v>
      </c>
      <c r="L169" s="4" t="s">
        <v>76</v>
      </c>
    </row>
    <row r="170" spans="1:21" ht="21.75" customHeight="1">
      <c r="A170" s="402" t="s">
        <v>43</v>
      </c>
      <c r="B170" s="403"/>
      <c r="C170" s="404"/>
      <c r="D170" s="81">
        <f>SUM(T95:T165)</f>
        <v>4030</v>
      </c>
    </row>
    <row r="171" spans="1:21" ht="21.75" customHeight="1">
      <c r="A171" s="405" t="s">
        <v>44</v>
      </c>
      <c r="B171" s="406"/>
      <c r="C171" s="407"/>
      <c r="D171" s="82">
        <f>SUM(D169:D170)</f>
        <v>7920</v>
      </c>
    </row>
  </sheetData>
  <autoFilter ref="A11:U165" xr:uid="{00000000-0009-0000-0000-00000D000000}"/>
  <mergeCells count="17">
    <mergeCell ref="A168:C168"/>
    <mergeCell ref="A169:C169"/>
    <mergeCell ref="A170:C170"/>
    <mergeCell ref="A171:C171"/>
    <mergeCell ref="A9:A10"/>
    <mergeCell ref="B9:B10"/>
    <mergeCell ref="C9:C10"/>
    <mergeCell ref="D9:D10"/>
    <mergeCell ref="E9:E10"/>
    <mergeCell ref="F9:F10"/>
    <mergeCell ref="G9:G10"/>
    <mergeCell ref="N9:N10"/>
    <mergeCell ref="O9:O10"/>
    <mergeCell ref="P9:P10"/>
    <mergeCell ref="Q9:Q10"/>
    <mergeCell ref="T9:T10"/>
    <mergeCell ref="U9:U10"/>
  </mergeCells>
  <pageMargins left="0.39370078740157499" right="0" top="0.15748031496063" bottom="0.15748031496063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Xarici dilər</vt:lpstr>
      <vt:lpstr>Ekologiya</vt:lpstr>
      <vt:lpstr>Təbiət elmləri</vt:lpstr>
      <vt:lpstr>Mexanika və riyaziyyat</vt:lpstr>
      <vt:lpstr>Proqramlaşdırma</vt:lpstr>
      <vt:lpstr>İnformasiya texnolog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Lenovo-T</dc:creator>
  <cp:lastModifiedBy>user</cp:lastModifiedBy>
  <cp:lastPrinted>2026-09-16T12:55:27Z</cp:lastPrinted>
  <dcterms:created xsi:type="dcterms:W3CDTF">2015-06-05T18:17:00Z</dcterms:created>
  <dcterms:modified xsi:type="dcterms:W3CDTF">2026-09-17T06:52:05Z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635ACBCC9FCC48B4BA17C5A33847660C_12</vt:lpwstr>
  </property>
  <property fmtid="{D5CDD505-2E9C-101B-9397-08002B2CF9AE}" pid="3" name="KSOProductBuildVer">
    <vt:lpwstr>1033-12.2.0.22549</vt:lpwstr>
  </property>
</Properties>
</file>